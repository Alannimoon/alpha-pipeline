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Quants\博润银泰\产品-博润稳健2号\时序研究\"/>
    </mc:Choice>
  </mc:AlternateContent>
  <xr:revisionPtr revIDLastSave="0" documentId="13_ncr:1_{BC7DA7CA-A74B-4181-BEAC-94EDB4E5803B}" xr6:coauthVersionLast="47" xr6:coauthVersionMax="47" xr10:uidLastSave="{00000000-0000-0000-0000-000000000000}"/>
  <bookViews>
    <workbookView xWindow="-103" yWindow="-103" windowWidth="24892" windowHeight="14914" activeTab="1" xr2:uid="{2A31709F-5B51-45A7-B6F0-538B0FEF5438}"/>
  </bookViews>
  <sheets>
    <sheet name="ic_summary_thr0.02" sheetId="1" r:id="rId1"/>
    <sheet name="因子选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I19" i="1"/>
  <c r="I3" i="1"/>
  <c r="I2" i="1"/>
  <c r="I60" i="1"/>
  <c r="I68" i="1"/>
  <c r="I73" i="1"/>
  <c r="I24" i="1"/>
  <c r="I6" i="1"/>
  <c r="I95" i="1"/>
  <c r="I10" i="1"/>
  <c r="I76" i="1"/>
  <c r="I49" i="1"/>
  <c r="I40" i="1"/>
  <c r="I71" i="1"/>
  <c r="I13" i="1"/>
  <c r="I87" i="1"/>
  <c r="I82" i="1"/>
  <c r="I33" i="1"/>
  <c r="I37" i="1"/>
  <c r="I17" i="1"/>
  <c r="I128" i="1"/>
  <c r="I129" i="1"/>
  <c r="I111" i="1"/>
  <c r="I29" i="1"/>
  <c r="I143" i="1"/>
  <c r="I86" i="1"/>
  <c r="I88" i="1"/>
  <c r="I48" i="1"/>
  <c r="I66" i="1"/>
  <c r="I51" i="1"/>
  <c r="I113" i="1"/>
  <c r="I125" i="1"/>
  <c r="I56" i="1"/>
  <c r="I94" i="1"/>
  <c r="I126" i="1"/>
  <c r="I141" i="1"/>
  <c r="I64" i="1"/>
  <c r="I146" i="1"/>
  <c r="I109" i="1"/>
  <c r="I133" i="1"/>
  <c r="I57" i="1"/>
  <c r="I110" i="1"/>
  <c r="I96" i="1"/>
  <c r="I123" i="1"/>
  <c r="I142" i="1"/>
  <c r="I115" i="1"/>
  <c r="I74" i="1"/>
  <c r="I7" i="1"/>
  <c r="I131" i="1"/>
  <c r="I52" i="1"/>
  <c r="I154" i="1"/>
  <c r="I158" i="1"/>
  <c r="I54" i="1"/>
  <c r="I98" i="1"/>
  <c r="I25" i="1"/>
  <c r="I14" i="1"/>
  <c r="I47" i="1"/>
  <c r="I4" i="1"/>
  <c r="I36" i="1"/>
  <c r="I102" i="1"/>
  <c r="I92" i="1"/>
  <c r="I163" i="1"/>
  <c r="I42" i="1"/>
  <c r="I23" i="1"/>
  <c r="I105" i="1"/>
  <c r="I90" i="1"/>
  <c r="I101" i="1"/>
  <c r="I28" i="1"/>
  <c r="I161" i="1"/>
  <c r="I103" i="1"/>
  <c r="I165" i="1"/>
  <c r="I44" i="1"/>
  <c r="I136" i="1"/>
  <c r="I139" i="1"/>
  <c r="I144" i="1"/>
  <c r="I11" i="1"/>
  <c r="I31" i="1"/>
  <c r="I50" i="1"/>
  <c r="I91" i="1"/>
  <c r="I108" i="1"/>
  <c r="I61" i="1"/>
  <c r="I63" i="1"/>
  <c r="I35" i="1"/>
  <c r="I8" i="1"/>
  <c r="I121" i="1"/>
  <c r="I117" i="1"/>
  <c r="I93" i="1"/>
  <c r="I39" i="1"/>
  <c r="I59" i="1"/>
  <c r="I134" i="1"/>
  <c r="I107" i="1"/>
  <c r="I62" i="1"/>
  <c r="I119" i="1"/>
  <c r="I78" i="1"/>
  <c r="I124" i="1"/>
  <c r="I100" i="1"/>
  <c r="I72" i="1"/>
  <c r="I152" i="1"/>
  <c r="I147" i="1"/>
  <c r="I137" i="1"/>
  <c r="I79" i="1"/>
  <c r="I15" i="1"/>
  <c r="I104" i="1"/>
  <c r="I69" i="1"/>
  <c r="I157" i="1"/>
  <c r="I159" i="1"/>
  <c r="I150" i="1"/>
  <c r="I53" i="1"/>
  <c r="I34" i="1"/>
  <c r="I16" i="1"/>
  <c r="I45" i="1"/>
  <c r="I5" i="1"/>
  <c r="I32" i="1"/>
  <c r="I89" i="1"/>
  <c r="I22" i="1"/>
  <c r="I27" i="1"/>
  <c r="I116" i="1"/>
  <c r="I162" i="1"/>
  <c r="I112" i="1"/>
  <c r="I145" i="1"/>
  <c r="I43" i="1"/>
  <c r="I77" i="1"/>
  <c r="I140" i="1"/>
  <c r="I138" i="1"/>
  <c r="I164" i="1"/>
  <c r="I166" i="1"/>
  <c r="I81" i="1"/>
  <c r="I83" i="1"/>
  <c r="I58" i="1"/>
  <c r="I38" i="1"/>
  <c r="I55" i="1"/>
  <c r="I160" i="1"/>
  <c r="I70" i="1"/>
  <c r="I26" i="1"/>
  <c r="I46" i="1"/>
  <c r="I12" i="1"/>
  <c r="I120" i="1"/>
  <c r="I30" i="1"/>
  <c r="I122" i="1"/>
  <c r="I97" i="1"/>
  <c r="I118" i="1"/>
  <c r="I135" i="1"/>
  <c r="I65" i="1"/>
  <c r="I41" i="1"/>
  <c r="I9" i="1"/>
  <c r="I85" i="1"/>
  <c r="I80" i="1"/>
  <c r="I106" i="1"/>
  <c r="I99" i="1"/>
  <c r="I127" i="1"/>
  <c r="I67" i="1"/>
  <c r="I114" i="1"/>
  <c r="I132" i="1"/>
  <c r="I75" i="1"/>
  <c r="I148" i="1"/>
  <c r="I84" i="1"/>
  <c r="I149" i="1"/>
  <c r="I130" i="1"/>
  <c r="I151" i="1"/>
  <c r="I20" i="1"/>
  <c r="I156" i="1"/>
  <c r="I155" i="1"/>
  <c r="I18" i="1"/>
  <c r="I153" i="1"/>
  <c r="I21" i="1"/>
  <c r="H19" i="1"/>
  <c r="H3" i="1"/>
  <c r="H2" i="1"/>
  <c r="H60" i="1"/>
  <c r="H68" i="1"/>
  <c r="H73" i="1"/>
  <c r="H24" i="1"/>
  <c r="H6" i="1"/>
  <c r="H95" i="1"/>
  <c r="H10" i="1"/>
  <c r="H76" i="1"/>
  <c r="H49" i="1"/>
  <c r="H40" i="1"/>
  <c r="H71" i="1"/>
  <c r="H13" i="1"/>
  <c r="H87" i="1"/>
  <c r="H82" i="1"/>
  <c r="H33" i="1"/>
  <c r="H37" i="1"/>
  <c r="H17" i="1"/>
  <c r="H128" i="1"/>
  <c r="H129" i="1"/>
  <c r="H111" i="1"/>
  <c r="H29" i="1"/>
  <c r="H143" i="1"/>
  <c r="H86" i="1"/>
  <c r="H88" i="1"/>
  <c r="H48" i="1"/>
  <c r="H66" i="1"/>
  <c r="H51" i="1"/>
  <c r="H113" i="1"/>
  <c r="H125" i="1"/>
  <c r="H56" i="1"/>
  <c r="H94" i="1"/>
  <c r="H126" i="1"/>
  <c r="H141" i="1"/>
  <c r="H64" i="1"/>
  <c r="H146" i="1"/>
  <c r="H109" i="1"/>
  <c r="H133" i="1"/>
  <c r="H57" i="1"/>
  <c r="H110" i="1"/>
  <c r="H96" i="1"/>
  <c r="H123" i="1"/>
  <c r="H142" i="1"/>
  <c r="H115" i="1"/>
  <c r="H74" i="1"/>
  <c r="H7" i="1"/>
  <c r="H131" i="1"/>
  <c r="H52" i="1"/>
  <c r="H154" i="1"/>
  <c r="H158" i="1"/>
  <c r="H54" i="1"/>
  <c r="H98" i="1"/>
  <c r="H25" i="1"/>
  <c r="H14" i="1"/>
  <c r="H47" i="1"/>
  <c r="H4" i="1"/>
  <c r="H36" i="1"/>
  <c r="H102" i="1"/>
  <c r="H92" i="1"/>
  <c r="H163" i="1"/>
  <c r="H42" i="1"/>
  <c r="H23" i="1"/>
  <c r="H105" i="1"/>
  <c r="H90" i="1"/>
  <c r="H101" i="1"/>
  <c r="H28" i="1"/>
  <c r="H161" i="1"/>
  <c r="H103" i="1"/>
  <c r="H165" i="1"/>
  <c r="H44" i="1"/>
  <c r="H136" i="1"/>
  <c r="H139" i="1"/>
  <c r="H144" i="1"/>
  <c r="H11" i="1"/>
  <c r="H31" i="1"/>
  <c r="H50" i="1"/>
  <c r="H91" i="1"/>
  <c r="H108" i="1"/>
  <c r="H61" i="1"/>
  <c r="H63" i="1"/>
  <c r="H35" i="1"/>
  <c r="H8" i="1"/>
  <c r="H121" i="1"/>
  <c r="H117" i="1"/>
  <c r="H93" i="1"/>
  <c r="H39" i="1"/>
  <c r="H59" i="1"/>
  <c r="H134" i="1"/>
  <c r="H107" i="1"/>
  <c r="H62" i="1"/>
  <c r="H119" i="1"/>
  <c r="H78" i="1"/>
  <c r="H124" i="1"/>
  <c r="H100" i="1"/>
  <c r="H72" i="1"/>
  <c r="H152" i="1"/>
  <c r="H147" i="1"/>
  <c r="H137" i="1"/>
  <c r="H79" i="1"/>
  <c r="H15" i="1"/>
  <c r="H104" i="1"/>
  <c r="H69" i="1"/>
  <c r="H157" i="1"/>
  <c r="H159" i="1"/>
  <c r="H150" i="1"/>
  <c r="H53" i="1"/>
  <c r="H34" i="1"/>
  <c r="H16" i="1"/>
  <c r="H45" i="1"/>
  <c r="H5" i="1"/>
  <c r="H32" i="1"/>
  <c r="H89" i="1"/>
  <c r="H22" i="1"/>
  <c r="H27" i="1"/>
  <c r="H116" i="1"/>
  <c r="H162" i="1"/>
  <c r="H112" i="1"/>
  <c r="H145" i="1"/>
  <c r="H43" i="1"/>
  <c r="H77" i="1"/>
  <c r="H140" i="1"/>
  <c r="H138" i="1"/>
  <c r="H164" i="1"/>
  <c r="H166" i="1"/>
  <c r="H81" i="1"/>
  <c r="H83" i="1"/>
  <c r="H58" i="1"/>
  <c r="H38" i="1"/>
  <c r="H55" i="1"/>
  <c r="H160" i="1"/>
  <c r="H70" i="1"/>
  <c r="H26" i="1"/>
  <c r="H46" i="1"/>
  <c r="H12" i="1"/>
  <c r="H120" i="1"/>
  <c r="H30" i="1"/>
  <c r="H122" i="1"/>
  <c r="H97" i="1"/>
  <c r="H118" i="1"/>
  <c r="H135" i="1"/>
  <c r="H65" i="1"/>
  <c r="H41" i="1"/>
  <c r="H9" i="1"/>
  <c r="H85" i="1"/>
  <c r="H80" i="1"/>
  <c r="H106" i="1"/>
  <c r="H99" i="1"/>
  <c r="H127" i="1"/>
  <c r="H67" i="1"/>
  <c r="H114" i="1"/>
  <c r="H132" i="1"/>
  <c r="H75" i="1"/>
  <c r="H148" i="1"/>
  <c r="H84" i="1"/>
  <c r="H149" i="1"/>
  <c r="H130" i="1"/>
  <c r="H151" i="1"/>
  <c r="H20" i="1"/>
  <c r="H156" i="1"/>
  <c r="H155" i="1"/>
  <c r="H18" i="1"/>
  <c r="H153" i="1"/>
  <c r="H21" i="1"/>
  <c r="G19" i="1"/>
  <c r="G3" i="1"/>
  <c r="G2" i="1"/>
  <c r="G60" i="1"/>
  <c r="G68" i="1"/>
  <c r="G73" i="1"/>
  <c r="G24" i="1"/>
  <c r="G6" i="1"/>
  <c r="G95" i="1"/>
  <c r="G10" i="1"/>
  <c r="G76" i="1"/>
  <c r="G49" i="1"/>
  <c r="G40" i="1"/>
  <c r="G71" i="1"/>
  <c r="G13" i="1"/>
  <c r="G87" i="1"/>
  <c r="G82" i="1"/>
  <c r="G33" i="1"/>
  <c r="G37" i="1"/>
  <c r="G17" i="1"/>
  <c r="G128" i="1"/>
  <c r="G129" i="1"/>
  <c r="G111" i="1"/>
  <c r="G29" i="1"/>
  <c r="G143" i="1"/>
  <c r="G86" i="1"/>
  <c r="G88" i="1"/>
  <c r="G48" i="1"/>
  <c r="G66" i="1"/>
  <c r="G51" i="1"/>
  <c r="G113" i="1"/>
  <c r="G125" i="1"/>
  <c r="G56" i="1"/>
  <c r="G94" i="1"/>
  <c r="G126" i="1"/>
  <c r="G141" i="1"/>
  <c r="G64" i="1"/>
  <c r="G146" i="1"/>
  <c r="G109" i="1"/>
  <c r="G133" i="1"/>
  <c r="G57" i="1"/>
  <c r="G110" i="1"/>
  <c r="G96" i="1"/>
  <c r="G123" i="1"/>
  <c r="G142" i="1"/>
  <c r="G115" i="1"/>
  <c r="G74" i="1"/>
  <c r="G7" i="1"/>
  <c r="G131" i="1"/>
  <c r="G52" i="1"/>
  <c r="G154" i="1"/>
  <c r="G158" i="1"/>
  <c r="G54" i="1"/>
  <c r="G98" i="1"/>
  <c r="G25" i="1"/>
  <c r="G14" i="1"/>
  <c r="G47" i="1"/>
  <c r="G4" i="1"/>
  <c r="G36" i="1"/>
  <c r="G102" i="1"/>
  <c r="G92" i="1"/>
  <c r="G163" i="1"/>
  <c r="G42" i="1"/>
  <c r="G23" i="1"/>
  <c r="G105" i="1"/>
  <c r="G90" i="1"/>
  <c r="G101" i="1"/>
  <c r="G28" i="1"/>
  <c r="G161" i="1"/>
  <c r="G103" i="1"/>
  <c r="G165" i="1"/>
  <c r="G44" i="1"/>
  <c r="G136" i="1"/>
  <c r="G139" i="1"/>
  <c r="G144" i="1"/>
  <c r="G11" i="1"/>
  <c r="G31" i="1"/>
  <c r="G50" i="1"/>
  <c r="G91" i="1"/>
  <c r="G108" i="1"/>
  <c r="G61" i="1"/>
  <c r="G63" i="1"/>
  <c r="G35" i="1"/>
  <c r="G8" i="1"/>
  <c r="G121" i="1"/>
  <c r="G117" i="1"/>
  <c r="G93" i="1"/>
  <c r="G39" i="1"/>
  <c r="G59" i="1"/>
  <c r="G134" i="1"/>
  <c r="G107" i="1"/>
  <c r="G62" i="1"/>
  <c r="G119" i="1"/>
  <c r="G78" i="1"/>
  <c r="G124" i="1"/>
  <c r="G100" i="1"/>
  <c r="G72" i="1"/>
  <c r="G152" i="1"/>
  <c r="G147" i="1"/>
  <c r="G137" i="1"/>
  <c r="G79" i="1"/>
  <c r="G15" i="1"/>
  <c r="G104" i="1"/>
  <c r="G69" i="1"/>
  <c r="G157" i="1"/>
  <c r="G159" i="1"/>
  <c r="G150" i="1"/>
  <c r="G53" i="1"/>
  <c r="G34" i="1"/>
  <c r="G16" i="1"/>
  <c r="G45" i="1"/>
  <c r="G5" i="1"/>
  <c r="G32" i="1"/>
  <c r="G89" i="1"/>
  <c r="G22" i="1"/>
  <c r="G27" i="1"/>
  <c r="G116" i="1"/>
  <c r="G162" i="1"/>
  <c r="G112" i="1"/>
  <c r="G145" i="1"/>
  <c r="G43" i="1"/>
  <c r="G77" i="1"/>
  <c r="G140" i="1"/>
  <c r="G138" i="1"/>
  <c r="G164" i="1"/>
  <c r="G166" i="1"/>
  <c r="G81" i="1"/>
  <c r="G83" i="1"/>
  <c r="G58" i="1"/>
  <c r="G38" i="1"/>
  <c r="G55" i="1"/>
  <c r="G160" i="1"/>
  <c r="G70" i="1"/>
  <c r="G26" i="1"/>
  <c r="G46" i="1"/>
  <c r="G12" i="1"/>
  <c r="G120" i="1"/>
  <c r="G30" i="1"/>
  <c r="G122" i="1"/>
  <c r="G97" i="1"/>
  <c r="G118" i="1"/>
  <c r="G135" i="1"/>
  <c r="G65" i="1"/>
  <c r="G41" i="1"/>
  <c r="G9" i="1"/>
  <c r="G85" i="1"/>
  <c r="G80" i="1"/>
  <c r="G106" i="1"/>
  <c r="G99" i="1"/>
  <c r="G127" i="1"/>
  <c r="G67" i="1"/>
  <c r="G114" i="1"/>
  <c r="G132" i="1"/>
  <c r="G75" i="1"/>
  <c r="G148" i="1"/>
  <c r="G84" i="1"/>
  <c r="G149" i="1"/>
  <c r="G130" i="1"/>
  <c r="G151" i="1"/>
  <c r="G20" i="1"/>
  <c r="G156" i="1"/>
  <c r="G155" i="1"/>
  <c r="G18" i="1"/>
  <c r="G153" i="1"/>
  <c r="G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<sst xmlns="http://schemas.openxmlformats.org/spreadsheetml/2006/main" count="891" uniqueCount="81">
  <si>
    <t>factor_name</t>
  </si>
  <si>
    <t>factor_col</t>
  </si>
  <si>
    <t>ret_horizon</t>
  </si>
  <si>
    <t>ic_mean</t>
  </si>
  <si>
    <t>rankic_mean</t>
  </si>
  <si>
    <t>mom</t>
  </si>
  <si>
    <t>mom_5m</t>
  </si>
  <si>
    <t>ret100</t>
  </si>
  <si>
    <t>mom_10m</t>
  </si>
  <si>
    <t>mom_20m</t>
  </si>
  <si>
    <t>mom_30m</t>
  </si>
  <si>
    <t>bap</t>
  </si>
  <si>
    <t>bap_15m</t>
  </si>
  <si>
    <t>acc_mom</t>
  </si>
  <si>
    <t>acc_mom_150_300t</t>
  </si>
  <si>
    <t>acc_mom_200_400t</t>
  </si>
  <si>
    <t>acc_mom_100_200t</t>
  </si>
  <si>
    <t>mom_45m</t>
  </si>
  <si>
    <t>acc_mom_300_600t</t>
  </si>
  <si>
    <t>acc_mom_50_100t</t>
  </si>
  <si>
    <t>acc_mom_400_800t</t>
  </si>
  <si>
    <t>bap_30m</t>
  </si>
  <si>
    <t>acc_mom_500_1000t</t>
  </si>
  <si>
    <t>mom_60m</t>
  </si>
  <si>
    <t>mom_90m</t>
  </si>
  <si>
    <t>amp_slice</t>
  </si>
  <si>
    <t>amp_slice_300t</t>
  </si>
  <si>
    <t>acc_mom_600_1200t</t>
  </si>
  <si>
    <t>bap_45m</t>
  </si>
  <si>
    <t>bap_60m</t>
  </si>
  <si>
    <t>acc_mom_25_50t</t>
  </si>
  <si>
    <t>amp_slice_600t</t>
  </si>
  <si>
    <t>amp_slice_900t</t>
  </si>
  <si>
    <t>amp_slice_1500t</t>
  </si>
  <si>
    <t>bap_75m</t>
  </si>
  <si>
    <t>amp_slice_1200t</t>
  </si>
  <si>
    <t>oir</t>
  </si>
  <si>
    <t>oir_15m</t>
  </si>
  <si>
    <t>oir_30m</t>
  </si>
  <si>
    <t>oir_45m</t>
  </si>
  <si>
    <t>oir_60m</t>
  </si>
  <si>
    <t>ofd</t>
  </si>
  <si>
    <t>ofd_15m</t>
  </si>
  <si>
    <t>oir_75m</t>
  </si>
  <si>
    <t>ofd_60m</t>
  </si>
  <si>
    <t>ofd_30m</t>
  </si>
  <si>
    <t>ofd_45m</t>
  </si>
  <si>
    <t>ofd_75m</t>
  </si>
  <si>
    <t>rigidity</t>
  </si>
  <si>
    <t>rigidity_20m</t>
  </si>
  <si>
    <t>rigidity_10m</t>
  </si>
  <si>
    <t>rigidity_30m</t>
  </si>
  <si>
    <t>rsrs</t>
  </si>
  <si>
    <t>rsrs_30m</t>
  </si>
  <si>
    <t>rsrs_45m</t>
  </si>
  <si>
    <t>rsrs_60m</t>
  </si>
  <si>
    <t>rsrs_75m</t>
  </si>
  <si>
    <t>neg_skew</t>
  </si>
  <si>
    <t>neg_skew_15m</t>
  </si>
  <si>
    <t>rsrs_105m</t>
  </si>
  <si>
    <t>rigidity_45m</t>
  </si>
  <si>
    <t>rigidity_90m</t>
  </si>
  <si>
    <t>pv_corr</t>
  </si>
  <si>
    <t>pv_corr_100t</t>
  </si>
  <si>
    <t>pv_corr_300t</t>
  </si>
  <si>
    <t>neg_skew_30m</t>
  </si>
  <si>
    <t>pv_corr_200t</t>
  </si>
  <si>
    <t>rigidity_60m</t>
  </si>
  <si>
    <t>rigidity_105m</t>
  </si>
  <si>
    <t>neg_skew_60m</t>
  </si>
  <si>
    <t>neg_skew_45m</t>
  </si>
  <si>
    <t>ret200</t>
  </si>
  <si>
    <t>ret300</t>
  </si>
  <si>
    <t>ic_abs</t>
    <phoneticPr fontId="18" type="noConversion"/>
  </si>
  <si>
    <t>rankic_abs</t>
    <phoneticPr fontId="18" type="noConversion"/>
  </si>
  <si>
    <t>mono_abs</t>
    <phoneticPr fontId="18" type="noConversion"/>
  </si>
  <si>
    <t>ic</t>
    <phoneticPr fontId="18" type="noConversion"/>
  </si>
  <si>
    <t>rank_ic</t>
    <phoneticPr fontId="18" type="noConversion"/>
  </si>
  <si>
    <t>monotonicity</t>
    <phoneticPr fontId="18" type="noConversion"/>
  </si>
  <si>
    <t>交集</t>
    <phoneticPr fontId="18" type="noConversion"/>
  </si>
  <si>
    <t>并集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</si>
</sst>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E8A3-032B-4831-A62C-1266F2534445}">
  <dimension ref="A1:I166"/>
  <sheetViews>
    <sheetView workbookViewId="0">
      <selection activeCell="F1" sqref="F1"/>
    </sheetView>
  </sheetViews>
  <sheetFormatPr defaultRowHeight="14.15" x14ac:dyDescent="0.35"/>
  <cols>
    <col min="1" max="1" width="11.0703125" bestFit="1" customWidth="1"/>
    <col min="2" max="2" width="18.42578125" bestFit="1" customWidth="1"/>
    <col min="3" max="3" width="10.140625" bestFit="1" customWidth="1"/>
    <col min="5" max="6" width="13.2851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  <c r="G1" t="s">
        <v>73</v>
      </c>
      <c r="H1" t="s">
        <v>74</v>
      </c>
      <c r="I1" t="s">
        <v>75</v>
      </c>
    </row>
    <row r="2" spans="1:9" x14ac:dyDescent="0.35">
      <c r="A2" t="s">
        <v>5</v>
      </c>
      <c r="B2" t="s">
        <v>10</v>
      </c>
      <c r="C2" t="s">
        <v>7</v>
      </c>
      <c r="D2">
        <v>-2.04586205896756E-2</v>
      </c>
      <c r="E2">
        <v>-3.7214405267785598E-2</v>
      </c>
      <c r="F2">
        <v>11.9981725245711</v>
      </c>
      <c r="G2">
        <f t="shared" ref="G2:G33" si="0">ABS(D2)</f>
        <v>2.04586205896756E-2</v>
      </c>
      <c r="H2">
        <f t="shared" ref="H2:H33" si="1">ABS(E2)</f>
        <v>3.7214405267785598E-2</v>
      </c>
      <c r="I2">
        <f t="shared" ref="I2:I33" si="2">ABS(F2)</f>
        <v>11.9981725245711</v>
      </c>
    </row>
    <row r="3" spans="1:9" x14ac:dyDescent="0.35">
      <c r="A3" t="s">
        <v>5</v>
      </c>
      <c r="B3" t="s">
        <v>9</v>
      </c>
      <c r="C3" t="s">
        <v>7</v>
      </c>
      <c r="D3">
        <v>-2.39078518348118E-2</v>
      </c>
      <c r="E3">
        <v>-4.11133795696286E-2</v>
      </c>
      <c r="F3">
        <v>11.850910031104201</v>
      </c>
      <c r="G3">
        <f t="shared" si="0"/>
        <v>2.39078518348118E-2</v>
      </c>
      <c r="H3">
        <f t="shared" si="1"/>
        <v>4.11133795696286E-2</v>
      </c>
      <c r="I3">
        <f t="shared" si="2"/>
        <v>11.850910031104201</v>
      </c>
    </row>
    <row r="4" spans="1:9" x14ac:dyDescent="0.35">
      <c r="A4" t="s">
        <v>5</v>
      </c>
      <c r="B4" t="s">
        <v>9</v>
      </c>
      <c r="C4" t="s">
        <v>71</v>
      </c>
      <c r="D4">
        <v>-2.1547913641138498E-2</v>
      </c>
      <c r="E4">
        <v>-3.9110916471185801E-2</v>
      </c>
      <c r="F4">
        <v>-10.8360905971943</v>
      </c>
      <c r="G4">
        <f t="shared" si="0"/>
        <v>2.1547913641138498E-2</v>
      </c>
      <c r="H4">
        <f t="shared" si="1"/>
        <v>3.9110916471185801E-2</v>
      </c>
      <c r="I4">
        <f t="shared" si="2"/>
        <v>10.8360905971943</v>
      </c>
    </row>
    <row r="5" spans="1:9" x14ac:dyDescent="0.35">
      <c r="A5" t="s">
        <v>5</v>
      </c>
      <c r="B5" t="s">
        <v>8</v>
      </c>
      <c r="C5" t="s">
        <v>72</v>
      </c>
      <c r="D5">
        <v>-2.1494892319545801E-2</v>
      </c>
      <c r="E5">
        <v>-3.7668919362861902E-2</v>
      </c>
      <c r="F5">
        <v>10.7100636685818</v>
      </c>
      <c r="G5">
        <f t="shared" si="0"/>
        <v>2.1494892319545801E-2</v>
      </c>
      <c r="H5">
        <f t="shared" si="1"/>
        <v>3.7668919362861902E-2</v>
      </c>
      <c r="I5">
        <f t="shared" si="2"/>
        <v>10.7100636685818</v>
      </c>
    </row>
    <row r="6" spans="1:9" x14ac:dyDescent="0.35">
      <c r="A6" t="s">
        <v>5</v>
      </c>
      <c r="B6" t="s">
        <v>17</v>
      </c>
      <c r="C6" t="s">
        <v>7</v>
      </c>
      <c r="D6">
        <v>-1.8066829756859401E-2</v>
      </c>
      <c r="E6">
        <v>-3.2812201525485002E-2</v>
      </c>
      <c r="F6">
        <v>-8.4347430558815901</v>
      </c>
      <c r="G6">
        <f t="shared" si="0"/>
        <v>1.8066829756859401E-2</v>
      </c>
      <c r="H6">
        <f t="shared" si="1"/>
        <v>3.2812201525485002E-2</v>
      </c>
      <c r="I6">
        <f t="shared" si="2"/>
        <v>8.4347430558815901</v>
      </c>
    </row>
    <row r="7" spans="1:9" x14ac:dyDescent="0.35">
      <c r="A7" t="s">
        <v>62</v>
      </c>
      <c r="B7" t="s">
        <v>64</v>
      </c>
      <c r="C7" t="s">
        <v>7</v>
      </c>
      <c r="D7">
        <v>1.6954772669867E-3</v>
      </c>
      <c r="E7">
        <v>-5.6938017097265996E-3</v>
      </c>
      <c r="F7">
        <v>8.2884972116462006</v>
      </c>
      <c r="G7">
        <f t="shared" si="0"/>
        <v>1.6954772669867E-3</v>
      </c>
      <c r="H7">
        <f t="shared" si="1"/>
        <v>5.6938017097265996E-3</v>
      </c>
      <c r="I7">
        <f t="shared" si="2"/>
        <v>8.2884972116462006</v>
      </c>
    </row>
    <row r="8" spans="1:9" x14ac:dyDescent="0.35">
      <c r="A8" t="s">
        <v>13</v>
      </c>
      <c r="B8" t="s">
        <v>30</v>
      </c>
      <c r="C8" t="s">
        <v>71</v>
      </c>
      <c r="D8">
        <v>-9.0842238642765E-3</v>
      </c>
      <c r="E8">
        <v>-1.0814373843197601E-2</v>
      </c>
      <c r="F8">
        <v>-7.8743410089188703</v>
      </c>
      <c r="G8">
        <f t="shared" si="0"/>
        <v>9.0842238642765E-3</v>
      </c>
      <c r="H8">
        <f t="shared" si="1"/>
        <v>1.0814373843197601E-2</v>
      </c>
      <c r="I8">
        <f t="shared" si="2"/>
        <v>7.8743410089188703</v>
      </c>
    </row>
    <row r="9" spans="1:9" x14ac:dyDescent="0.35">
      <c r="A9" t="s">
        <v>13</v>
      </c>
      <c r="B9" t="s">
        <v>30</v>
      </c>
      <c r="C9" t="s">
        <v>72</v>
      </c>
      <c r="D9">
        <v>-7.3653241732518004E-3</v>
      </c>
      <c r="E9">
        <v>-9.2099232538625994E-3</v>
      </c>
      <c r="F9">
        <v>-7.0679419432363799</v>
      </c>
      <c r="G9">
        <f t="shared" si="0"/>
        <v>7.3653241732518004E-3</v>
      </c>
      <c r="H9">
        <f t="shared" si="1"/>
        <v>9.2099232538625994E-3</v>
      </c>
      <c r="I9">
        <f t="shared" si="2"/>
        <v>7.0679419432363799</v>
      </c>
    </row>
    <row r="10" spans="1:9" x14ac:dyDescent="0.35">
      <c r="A10" t="s">
        <v>13</v>
      </c>
      <c r="B10" t="s">
        <v>19</v>
      </c>
      <c r="C10" t="s">
        <v>7</v>
      </c>
      <c r="D10">
        <v>-1.6672322494009399E-2</v>
      </c>
      <c r="E10">
        <v>-2.2264701317021299E-2</v>
      </c>
      <c r="F10">
        <v>6.9050868308371998</v>
      </c>
      <c r="G10">
        <f t="shared" si="0"/>
        <v>1.6672322494009399E-2</v>
      </c>
      <c r="H10">
        <f t="shared" si="1"/>
        <v>2.2264701317021299E-2</v>
      </c>
      <c r="I10">
        <f t="shared" si="2"/>
        <v>6.9050868308371998</v>
      </c>
    </row>
    <row r="11" spans="1:9" x14ac:dyDescent="0.35">
      <c r="A11" t="s">
        <v>13</v>
      </c>
      <c r="B11" t="s">
        <v>19</v>
      </c>
      <c r="C11" t="s">
        <v>71</v>
      </c>
      <c r="D11">
        <v>-1.31153674138827E-2</v>
      </c>
      <c r="E11">
        <v>-1.8371107043378E-2</v>
      </c>
      <c r="F11">
        <v>6.2919482012794798</v>
      </c>
      <c r="G11">
        <f t="shared" si="0"/>
        <v>1.31153674138827E-2</v>
      </c>
      <c r="H11">
        <f t="shared" si="1"/>
        <v>1.8371107043378E-2</v>
      </c>
      <c r="I11">
        <f t="shared" si="2"/>
        <v>6.2919482012794798</v>
      </c>
    </row>
    <row r="12" spans="1:9" x14ac:dyDescent="0.35">
      <c r="A12" t="s">
        <v>13</v>
      </c>
      <c r="B12" t="s">
        <v>19</v>
      </c>
      <c r="C12" t="s">
        <v>72</v>
      </c>
      <c r="D12">
        <v>-1.1044488639209401E-2</v>
      </c>
      <c r="E12">
        <v>-1.6148585595231201E-2</v>
      </c>
      <c r="F12">
        <v>5.8217606601985299</v>
      </c>
      <c r="G12">
        <f t="shared" si="0"/>
        <v>1.1044488639209401E-2</v>
      </c>
      <c r="H12">
        <f t="shared" si="1"/>
        <v>1.6148585595231201E-2</v>
      </c>
      <c r="I12">
        <f t="shared" si="2"/>
        <v>5.8217606601985299</v>
      </c>
    </row>
    <row r="13" spans="1:9" x14ac:dyDescent="0.35">
      <c r="A13" t="s">
        <v>5</v>
      </c>
      <c r="B13" t="s">
        <v>24</v>
      </c>
      <c r="C13" t="s">
        <v>7</v>
      </c>
      <c r="D13">
        <v>-1.4811766967528299E-2</v>
      </c>
      <c r="E13">
        <v>-2.5920661063065901E-2</v>
      </c>
      <c r="F13">
        <v>-5.63072384118722</v>
      </c>
      <c r="G13">
        <f t="shared" si="0"/>
        <v>1.4811766967528299E-2</v>
      </c>
      <c r="H13">
        <f t="shared" si="1"/>
        <v>2.5920661063065901E-2</v>
      </c>
      <c r="I13">
        <f t="shared" si="2"/>
        <v>5.63072384118722</v>
      </c>
    </row>
    <row r="14" spans="1:9" x14ac:dyDescent="0.35">
      <c r="A14" t="s">
        <v>5</v>
      </c>
      <c r="B14" t="s">
        <v>8</v>
      </c>
      <c r="C14" t="s">
        <v>71</v>
      </c>
      <c r="D14">
        <v>-2.48313684249559E-2</v>
      </c>
      <c r="E14">
        <v>-4.3339370608238399E-2</v>
      </c>
      <c r="F14">
        <v>5.0218416688323098</v>
      </c>
      <c r="G14">
        <f t="shared" si="0"/>
        <v>2.48313684249559E-2</v>
      </c>
      <c r="H14">
        <f t="shared" si="1"/>
        <v>4.3339370608238399E-2</v>
      </c>
      <c r="I14">
        <f t="shared" si="2"/>
        <v>5.0218416688323098</v>
      </c>
    </row>
    <row r="15" spans="1:9" x14ac:dyDescent="0.35">
      <c r="A15" t="s">
        <v>62</v>
      </c>
      <c r="B15" t="s">
        <v>64</v>
      </c>
      <c r="C15" t="s">
        <v>71</v>
      </c>
      <c r="D15">
        <v>2.2573098332599999E-3</v>
      </c>
      <c r="E15">
        <v>-6.4796647368143001E-3</v>
      </c>
      <c r="F15">
        <v>4.7435927566123199</v>
      </c>
      <c r="G15">
        <f t="shared" si="0"/>
        <v>2.2573098332599999E-3</v>
      </c>
      <c r="H15">
        <f t="shared" si="1"/>
        <v>6.4796647368143001E-3</v>
      </c>
      <c r="I15">
        <f t="shared" si="2"/>
        <v>4.7435927566123199</v>
      </c>
    </row>
    <row r="16" spans="1:9" x14ac:dyDescent="0.35">
      <c r="A16" t="s">
        <v>5</v>
      </c>
      <c r="B16" t="s">
        <v>6</v>
      </c>
      <c r="C16" t="s">
        <v>72</v>
      </c>
      <c r="D16">
        <v>-2.35715207712929E-2</v>
      </c>
      <c r="E16">
        <v>-3.7788247357248797E-2</v>
      </c>
      <c r="F16">
        <v>4.6803915261367903</v>
      </c>
      <c r="G16">
        <f t="shared" si="0"/>
        <v>2.35715207712929E-2</v>
      </c>
      <c r="H16">
        <f t="shared" si="1"/>
        <v>3.7788247357248797E-2</v>
      </c>
      <c r="I16">
        <f t="shared" si="2"/>
        <v>4.6803915261367903</v>
      </c>
    </row>
    <row r="17" spans="1:9" x14ac:dyDescent="0.35">
      <c r="A17" t="s">
        <v>13</v>
      </c>
      <c r="B17" t="s">
        <v>30</v>
      </c>
      <c r="C17" t="s">
        <v>7</v>
      </c>
      <c r="D17">
        <v>-1.1952575167690599E-2</v>
      </c>
      <c r="E17">
        <v>-1.33116009552299E-2</v>
      </c>
      <c r="F17">
        <v>-4.6681131086596297</v>
      </c>
      <c r="G17">
        <f t="shared" si="0"/>
        <v>1.1952575167690599E-2</v>
      </c>
      <c r="H17">
        <f t="shared" si="1"/>
        <v>1.33116009552299E-2</v>
      </c>
      <c r="I17">
        <f t="shared" si="2"/>
        <v>4.6681131086596297</v>
      </c>
    </row>
    <row r="18" spans="1:9" x14ac:dyDescent="0.35">
      <c r="A18" t="s">
        <v>57</v>
      </c>
      <c r="B18" t="s">
        <v>69</v>
      </c>
      <c r="C18" t="s">
        <v>72</v>
      </c>
      <c r="D18">
        <v>-5.8704183963249998E-4</v>
      </c>
      <c r="E18">
        <v>1.6670384220431302E-2</v>
      </c>
      <c r="F18">
        <v>4.5693307619538599</v>
      </c>
      <c r="G18">
        <f t="shared" si="0"/>
        <v>5.8704183963249998E-4</v>
      </c>
      <c r="H18">
        <f t="shared" si="1"/>
        <v>1.6670384220431302E-2</v>
      </c>
      <c r="I18">
        <f t="shared" si="2"/>
        <v>4.5693307619538599</v>
      </c>
    </row>
    <row r="19" spans="1:9" x14ac:dyDescent="0.35">
      <c r="A19" t="s">
        <v>5</v>
      </c>
      <c r="B19" t="s">
        <v>8</v>
      </c>
      <c r="C19" t="s">
        <v>7</v>
      </c>
      <c r="D19">
        <v>-2.960468703566E-2</v>
      </c>
      <c r="E19">
        <v>-4.8701440123185898E-2</v>
      </c>
      <c r="F19">
        <v>4.2679249204970997</v>
      </c>
      <c r="G19">
        <f t="shared" si="0"/>
        <v>2.960468703566E-2</v>
      </c>
      <c r="H19">
        <f t="shared" si="1"/>
        <v>4.8701440123185898E-2</v>
      </c>
      <c r="I19">
        <f t="shared" si="2"/>
        <v>4.2679249204970997</v>
      </c>
    </row>
    <row r="20" spans="1:9" x14ac:dyDescent="0.35">
      <c r="A20" t="s">
        <v>57</v>
      </c>
      <c r="B20" t="s">
        <v>70</v>
      </c>
      <c r="C20" t="s">
        <v>72</v>
      </c>
      <c r="D20">
        <v>-1.3640862695634001E-3</v>
      </c>
      <c r="E20">
        <v>1.54816363351608E-2</v>
      </c>
      <c r="F20">
        <v>4.2386817217391002</v>
      </c>
      <c r="G20">
        <f t="shared" si="0"/>
        <v>1.3640862695634001E-3</v>
      </c>
      <c r="H20">
        <f t="shared" si="1"/>
        <v>1.54816363351608E-2</v>
      </c>
      <c r="I20">
        <f t="shared" si="2"/>
        <v>4.2386817217391002</v>
      </c>
    </row>
    <row r="21" spans="1:9" x14ac:dyDescent="0.35">
      <c r="A21" t="s">
        <v>5</v>
      </c>
      <c r="B21" t="s">
        <v>6</v>
      </c>
      <c r="C21" t="s">
        <v>7</v>
      </c>
      <c r="D21">
        <v>-3.3855917825206597E-2</v>
      </c>
      <c r="E21">
        <v>-5.1312125444635599E-2</v>
      </c>
      <c r="F21">
        <v>4.1269013848761702</v>
      </c>
      <c r="G21">
        <f t="shared" si="0"/>
        <v>3.3855917825206597E-2</v>
      </c>
      <c r="H21">
        <f t="shared" si="1"/>
        <v>5.1312125444635599E-2</v>
      </c>
      <c r="I21">
        <f t="shared" si="2"/>
        <v>4.1269013848761702</v>
      </c>
    </row>
    <row r="22" spans="1:9" x14ac:dyDescent="0.35">
      <c r="A22" t="s">
        <v>11</v>
      </c>
      <c r="B22" t="s">
        <v>28</v>
      </c>
      <c r="C22" t="s">
        <v>72</v>
      </c>
      <c r="D22">
        <v>-1.7283121556318701E-2</v>
      </c>
      <c r="E22">
        <v>-1.39674237790351E-2</v>
      </c>
      <c r="F22">
        <v>4.0804464481673</v>
      </c>
      <c r="G22">
        <f t="shared" si="0"/>
        <v>1.7283121556318701E-2</v>
      </c>
      <c r="H22">
        <f t="shared" si="1"/>
        <v>1.39674237790351E-2</v>
      </c>
      <c r="I22">
        <f t="shared" si="2"/>
        <v>4.0804464481673</v>
      </c>
    </row>
    <row r="23" spans="1:9" x14ac:dyDescent="0.35">
      <c r="A23" t="s">
        <v>11</v>
      </c>
      <c r="B23" t="s">
        <v>28</v>
      </c>
      <c r="C23" t="s">
        <v>71</v>
      </c>
      <c r="D23">
        <v>-1.5918954371034098E-2</v>
      </c>
      <c r="E23">
        <v>-1.21231005037829E-2</v>
      </c>
      <c r="F23">
        <v>4.0416453923156297</v>
      </c>
      <c r="G23">
        <f t="shared" si="0"/>
        <v>1.5918954371034098E-2</v>
      </c>
      <c r="H23">
        <f t="shared" si="1"/>
        <v>1.21231005037829E-2</v>
      </c>
      <c r="I23">
        <f t="shared" si="2"/>
        <v>4.0416453923156297</v>
      </c>
    </row>
    <row r="24" spans="1:9" x14ac:dyDescent="0.35">
      <c r="A24" t="s">
        <v>13</v>
      </c>
      <c r="B24" t="s">
        <v>16</v>
      </c>
      <c r="C24" t="s">
        <v>7</v>
      </c>
      <c r="D24">
        <v>-1.9134008842549399E-2</v>
      </c>
      <c r="E24">
        <v>-2.8732590793164401E-2</v>
      </c>
      <c r="F24">
        <v>3.8778792900831398</v>
      </c>
      <c r="G24">
        <f t="shared" si="0"/>
        <v>1.9134008842549399E-2</v>
      </c>
      <c r="H24">
        <f t="shared" si="1"/>
        <v>2.8732590793164401E-2</v>
      </c>
      <c r="I24">
        <f t="shared" si="2"/>
        <v>3.8778792900831398</v>
      </c>
    </row>
    <row r="25" spans="1:9" x14ac:dyDescent="0.35">
      <c r="A25" t="s">
        <v>5</v>
      </c>
      <c r="B25" t="s">
        <v>6</v>
      </c>
      <c r="C25" t="s">
        <v>71</v>
      </c>
      <c r="D25">
        <v>-2.8310397740647801E-2</v>
      </c>
      <c r="E25">
        <v>-4.4661017078870401E-2</v>
      </c>
      <c r="F25">
        <v>3.8729887018247098</v>
      </c>
      <c r="G25">
        <f t="shared" si="0"/>
        <v>2.8310397740647801E-2</v>
      </c>
      <c r="H25">
        <f t="shared" si="1"/>
        <v>4.4661017078870401E-2</v>
      </c>
      <c r="I25">
        <f t="shared" si="2"/>
        <v>3.8729887018247098</v>
      </c>
    </row>
    <row r="26" spans="1:9" x14ac:dyDescent="0.35">
      <c r="A26" t="s">
        <v>36</v>
      </c>
      <c r="B26" t="s">
        <v>39</v>
      </c>
      <c r="C26" t="s">
        <v>72</v>
      </c>
      <c r="D26">
        <v>-1.17308965244095E-2</v>
      </c>
      <c r="E26" s="1">
        <v>7.8656261996165404E-5</v>
      </c>
      <c r="F26">
        <v>3.7500571755316101</v>
      </c>
      <c r="G26">
        <f t="shared" si="0"/>
        <v>1.17308965244095E-2</v>
      </c>
      <c r="H26">
        <f t="shared" si="1"/>
        <v>7.8656261996165404E-5</v>
      </c>
      <c r="I26">
        <f t="shared" si="2"/>
        <v>3.7500571755316101</v>
      </c>
    </row>
    <row r="27" spans="1:9" x14ac:dyDescent="0.35">
      <c r="A27" t="s">
        <v>11</v>
      </c>
      <c r="B27" t="s">
        <v>29</v>
      </c>
      <c r="C27" t="s">
        <v>72</v>
      </c>
      <c r="D27">
        <v>-1.6326203964951099E-2</v>
      </c>
      <c r="E27">
        <v>-1.29663955276291E-2</v>
      </c>
      <c r="F27">
        <v>3.7418228645379199</v>
      </c>
      <c r="G27">
        <f t="shared" si="0"/>
        <v>1.6326203964951099E-2</v>
      </c>
      <c r="H27">
        <f t="shared" si="1"/>
        <v>1.29663955276291E-2</v>
      </c>
      <c r="I27">
        <f t="shared" si="2"/>
        <v>3.7418228645379199</v>
      </c>
    </row>
    <row r="28" spans="1:9" x14ac:dyDescent="0.35">
      <c r="A28" t="s">
        <v>11</v>
      </c>
      <c r="B28" t="s">
        <v>29</v>
      </c>
      <c r="C28" t="s">
        <v>71</v>
      </c>
      <c r="D28">
        <v>-1.4996573058164601E-2</v>
      </c>
      <c r="E28">
        <v>-1.12102716406145E-2</v>
      </c>
      <c r="F28">
        <v>3.7280009325851098</v>
      </c>
      <c r="G28">
        <f t="shared" si="0"/>
        <v>1.4996573058164601E-2</v>
      </c>
      <c r="H28">
        <f t="shared" si="1"/>
        <v>1.12102716406145E-2</v>
      </c>
      <c r="I28">
        <f t="shared" si="2"/>
        <v>3.7280009325851098</v>
      </c>
    </row>
    <row r="29" spans="1:9" x14ac:dyDescent="0.35">
      <c r="A29" t="s">
        <v>11</v>
      </c>
      <c r="B29" t="s">
        <v>34</v>
      </c>
      <c r="C29" t="s">
        <v>7</v>
      </c>
      <c r="D29">
        <v>-1.05469282647376E-2</v>
      </c>
      <c r="E29">
        <v>-5.8083926801100003E-3</v>
      </c>
      <c r="F29">
        <v>3.6935603454537</v>
      </c>
      <c r="G29">
        <f t="shared" si="0"/>
        <v>1.05469282647376E-2</v>
      </c>
      <c r="H29">
        <f t="shared" si="1"/>
        <v>5.8083926801100003E-3</v>
      </c>
      <c r="I29">
        <f t="shared" si="2"/>
        <v>3.6935603454537</v>
      </c>
    </row>
    <row r="30" spans="1:9" x14ac:dyDescent="0.35">
      <c r="A30" t="s">
        <v>13</v>
      </c>
      <c r="B30" t="s">
        <v>22</v>
      </c>
      <c r="C30" t="s">
        <v>72</v>
      </c>
      <c r="D30">
        <v>-1.0375389274873199E-2</v>
      </c>
      <c r="E30">
        <v>-2.3415615444134501E-2</v>
      </c>
      <c r="F30">
        <v>3.6914094662244299</v>
      </c>
      <c r="G30">
        <f t="shared" si="0"/>
        <v>1.0375389274873199E-2</v>
      </c>
      <c r="H30">
        <f t="shared" si="1"/>
        <v>2.3415615444134501E-2</v>
      </c>
      <c r="I30">
        <f t="shared" si="2"/>
        <v>3.6914094662244299</v>
      </c>
    </row>
    <row r="31" spans="1:9" x14ac:dyDescent="0.35">
      <c r="A31" t="s">
        <v>11</v>
      </c>
      <c r="B31" t="s">
        <v>34</v>
      </c>
      <c r="C31" t="s">
        <v>71</v>
      </c>
      <c r="D31">
        <v>-1.3019330758955601E-2</v>
      </c>
      <c r="E31">
        <v>-9.3114744401942007E-3</v>
      </c>
      <c r="F31">
        <v>3.6244281474050402</v>
      </c>
      <c r="G31">
        <f t="shared" si="0"/>
        <v>1.3019330758955601E-2</v>
      </c>
      <c r="H31">
        <f t="shared" si="1"/>
        <v>9.3114744401942007E-3</v>
      </c>
      <c r="I31">
        <f t="shared" si="2"/>
        <v>3.6244281474050402</v>
      </c>
    </row>
    <row r="32" spans="1:9" x14ac:dyDescent="0.35">
      <c r="A32" t="s">
        <v>11</v>
      </c>
      <c r="B32" t="s">
        <v>21</v>
      </c>
      <c r="C32" t="s">
        <v>72</v>
      </c>
      <c r="D32">
        <v>-1.9674001777548699E-2</v>
      </c>
      <c r="E32">
        <v>-1.68412891638554E-2</v>
      </c>
      <c r="F32">
        <v>3.6018805855654299</v>
      </c>
      <c r="G32">
        <f t="shared" si="0"/>
        <v>1.9674001777548699E-2</v>
      </c>
      <c r="H32">
        <f t="shared" si="1"/>
        <v>1.68412891638554E-2</v>
      </c>
      <c r="I32">
        <f t="shared" si="2"/>
        <v>3.6018805855654299</v>
      </c>
    </row>
    <row r="33" spans="1:9" x14ac:dyDescent="0.35">
      <c r="A33" t="s">
        <v>11</v>
      </c>
      <c r="B33" t="s">
        <v>28</v>
      </c>
      <c r="C33" t="s">
        <v>7</v>
      </c>
      <c r="D33">
        <v>-1.33568891606553E-2</v>
      </c>
      <c r="E33">
        <v>-8.5508699902160003E-3</v>
      </c>
      <c r="F33">
        <v>3.58204290390622</v>
      </c>
      <c r="G33">
        <f t="shared" si="0"/>
        <v>1.33568891606553E-2</v>
      </c>
      <c r="H33">
        <f t="shared" si="1"/>
        <v>8.5508699902160003E-3</v>
      </c>
      <c r="I33">
        <f t="shared" si="2"/>
        <v>3.58204290390622</v>
      </c>
    </row>
    <row r="34" spans="1:9" x14ac:dyDescent="0.35">
      <c r="A34" t="s">
        <v>57</v>
      </c>
      <c r="B34" t="s">
        <v>69</v>
      </c>
      <c r="C34" t="s">
        <v>71</v>
      </c>
      <c r="D34" s="1">
        <v>4.5422954182853702E-7</v>
      </c>
      <c r="E34">
        <v>1.6510469970586701E-2</v>
      </c>
      <c r="F34">
        <v>3.5210649047785099</v>
      </c>
      <c r="G34">
        <f t="shared" ref="G34:G65" si="3">ABS(D34)</f>
        <v>4.5422954182853702E-7</v>
      </c>
      <c r="H34">
        <f t="shared" ref="H34:H65" si="4">ABS(E34)</f>
        <v>1.6510469970586701E-2</v>
      </c>
      <c r="I34">
        <f t="shared" ref="I34:I65" si="5">ABS(F34)</f>
        <v>3.5210649047785099</v>
      </c>
    </row>
    <row r="35" spans="1:9" x14ac:dyDescent="0.35">
      <c r="A35" t="s">
        <v>36</v>
      </c>
      <c r="B35" t="s">
        <v>39</v>
      </c>
      <c r="C35" t="s">
        <v>71</v>
      </c>
      <c r="D35">
        <v>-9.7380438782011004E-3</v>
      </c>
      <c r="E35">
        <v>1.2894668636334E-3</v>
      </c>
      <c r="F35">
        <v>3.4798809930616201</v>
      </c>
      <c r="G35">
        <f t="shared" si="3"/>
        <v>9.7380438782011004E-3</v>
      </c>
      <c r="H35">
        <f t="shared" si="4"/>
        <v>1.2894668636334E-3</v>
      </c>
      <c r="I35">
        <f t="shared" si="5"/>
        <v>3.4798809930616201</v>
      </c>
    </row>
    <row r="36" spans="1:9" x14ac:dyDescent="0.35">
      <c r="A36" t="s">
        <v>11</v>
      </c>
      <c r="B36" t="s">
        <v>21</v>
      </c>
      <c r="C36" t="s">
        <v>71</v>
      </c>
      <c r="D36">
        <v>-1.8672919976311399E-2</v>
      </c>
      <c r="E36">
        <v>-1.5336646581992E-2</v>
      </c>
      <c r="F36">
        <v>3.4406545177218399</v>
      </c>
      <c r="G36">
        <f t="shared" si="3"/>
        <v>1.8672919976311399E-2</v>
      </c>
      <c r="H36">
        <f t="shared" si="4"/>
        <v>1.5336646581992E-2</v>
      </c>
      <c r="I36">
        <f t="shared" si="5"/>
        <v>3.4406545177218399</v>
      </c>
    </row>
    <row r="37" spans="1:9" x14ac:dyDescent="0.35">
      <c r="A37" t="s">
        <v>11</v>
      </c>
      <c r="B37" t="s">
        <v>29</v>
      </c>
      <c r="C37" t="s">
        <v>7</v>
      </c>
      <c r="D37">
        <v>-1.2163485843258401E-2</v>
      </c>
      <c r="E37">
        <v>-7.4149422366683003E-3</v>
      </c>
      <c r="F37">
        <v>3.4307884387722898</v>
      </c>
      <c r="G37">
        <f t="shared" si="3"/>
        <v>1.2163485843258401E-2</v>
      </c>
      <c r="H37">
        <f t="shared" si="4"/>
        <v>7.4149422366683003E-3</v>
      </c>
      <c r="I37">
        <f t="shared" si="5"/>
        <v>3.4307884387722898</v>
      </c>
    </row>
    <row r="38" spans="1:9" x14ac:dyDescent="0.35">
      <c r="A38" t="s">
        <v>13</v>
      </c>
      <c r="B38" t="s">
        <v>16</v>
      </c>
      <c r="C38" t="s">
        <v>72</v>
      </c>
      <c r="D38">
        <v>-1.30305063520988E-2</v>
      </c>
      <c r="E38">
        <v>-2.1324013048631098E-2</v>
      </c>
      <c r="F38">
        <v>3.4198986712636401</v>
      </c>
      <c r="G38">
        <f t="shared" si="3"/>
        <v>1.30305063520988E-2</v>
      </c>
      <c r="H38">
        <f t="shared" si="4"/>
        <v>2.1324013048631098E-2</v>
      </c>
      <c r="I38">
        <f t="shared" si="5"/>
        <v>3.4198986712636401</v>
      </c>
    </row>
    <row r="39" spans="1:9" x14ac:dyDescent="0.35">
      <c r="A39" t="s">
        <v>41</v>
      </c>
      <c r="B39" t="s">
        <v>42</v>
      </c>
      <c r="C39" t="s">
        <v>71</v>
      </c>
      <c r="D39">
        <v>-7.8222701357748003E-3</v>
      </c>
      <c r="E39">
        <v>-5.9832119569703003E-3</v>
      </c>
      <c r="F39">
        <v>3.3371391065396501</v>
      </c>
      <c r="G39">
        <f t="shared" si="3"/>
        <v>7.8222701357748003E-3</v>
      </c>
      <c r="H39">
        <f t="shared" si="4"/>
        <v>5.9832119569703003E-3</v>
      </c>
      <c r="I39">
        <f t="shared" si="5"/>
        <v>3.3371391065396501</v>
      </c>
    </row>
    <row r="40" spans="1:9" x14ac:dyDescent="0.35">
      <c r="A40" t="s">
        <v>13</v>
      </c>
      <c r="B40" t="s">
        <v>22</v>
      </c>
      <c r="C40" t="s">
        <v>7</v>
      </c>
      <c r="D40">
        <v>-1.54344696513355E-2</v>
      </c>
      <c r="E40">
        <v>-2.77639618986458E-2</v>
      </c>
      <c r="F40">
        <v>3.2629911535093599</v>
      </c>
      <c r="G40">
        <f t="shared" si="3"/>
        <v>1.54344696513355E-2</v>
      </c>
      <c r="H40">
        <f t="shared" si="4"/>
        <v>2.77639618986458E-2</v>
      </c>
      <c r="I40">
        <f t="shared" si="5"/>
        <v>3.2629911535093599</v>
      </c>
    </row>
    <row r="41" spans="1:9" x14ac:dyDescent="0.35">
      <c r="A41" t="s">
        <v>41</v>
      </c>
      <c r="B41" t="s">
        <v>42</v>
      </c>
      <c r="C41" t="s">
        <v>72</v>
      </c>
      <c r="D41">
        <v>-9.1501804642303997E-3</v>
      </c>
      <c r="E41">
        <v>-8.0748158131731008E-3</v>
      </c>
      <c r="F41">
        <v>3.25038491941649</v>
      </c>
      <c r="G41">
        <f t="shared" si="3"/>
        <v>9.1501804642303997E-3</v>
      </c>
      <c r="H41">
        <f t="shared" si="4"/>
        <v>8.0748158131731008E-3</v>
      </c>
      <c r="I41">
        <f t="shared" si="5"/>
        <v>3.25038491941649</v>
      </c>
    </row>
    <row r="42" spans="1:9" x14ac:dyDescent="0.35">
      <c r="A42" t="s">
        <v>13</v>
      </c>
      <c r="B42" t="s">
        <v>16</v>
      </c>
      <c r="C42" t="s">
        <v>71</v>
      </c>
      <c r="D42">
        <v>-1.61833535771671E-2</v>
      </c>
      <c r="E42">
        <v>-2.5195465341720302E-2</v>
      </c>
      <c r="F42">
        <v>3.2324196393227398</v>
      </c>
      <c r="G42">
        <f t="shared" si="3"/>
        <v>1.61833535771671E-2</v>
      </c>
      <c r="H42">
        <f t="shared" si="4"/>
        <v>2.5195465341720302E-2</v>
      </c>
      <c r="I42">
        <f t="shared" si="5"/>
        <v>3.2324196393227398</v>
      </c>
    </row>
    <row r="43" spans="1:9" x14ac:dyDescent="0.35">
      <c r="A43" t="s">
        <v>11</v>
      </c>
      <c r="B43" t="s">
        <v>34</v>
      </c>
      <c r="C43" t="s">
        <v>72</v>
      </c>
      <c r="D43">
        <v>-1.43139894664919E-2</v>
      </c>
      <c r="E43">
        <v>-1.10653475835357E-2</v>
      </c>
      <c r="F43">
        <v>3.1800798172059599</v>
      </c>
      <c r="G43">
        <f t="shared" si="3"/>
        <v>1.43139894664919E-2</v>
      </c>
      <c r="H43">
        <f t="shared" si="4"/>
        <v>1.10653475835357E-2</v>
      </c>
      <c r="I43">
        <f t="shared" si="5"/>
        <v>3.1800798172059599</v>
      </c>
    </row>
    <row r="44" spans="1:9" x14ac:dyDescent="0.35">
      <c r="A44" t="s">
        <v>13</v>
      </c>
      <c r="B44" t="s">
        <v>20</v>
      </c>
      <c r="C44" t="s">
        <v>71</v>
      </c>
      <c r="D44">
        <v>-1.39165739897926E-2</v>
      </c>
      <c r="E44">
        <v>-2.6747643951562899E-2</v>
      </c>
      <c r="F44">
        <v>3.1774663630342199</v>
      </c>
      <c r="G44">
        <f t="shared" si="3"/>
        <v>1.39165739897926E-2</v>
      </c>
      <c r="H44">
        <f t="shared" si="4"/>
        <v>2.6747643951562899E-2</v>
      </c>
      <c r="I44">
        <f t="shared" si="5"/>
        <v>3.1774663630342199</v>
      </c>
    </row>
    <row r="45" spans="1:9" x14ac:dyDescent="0.35">
      <c r="A45" t="s">
        <v>11</v>
      </c>
      <c r="B45" t="s">
        <v>12</v>
      </c>
      <c r="C45" t="s">
        <v>72</v>
      </c>
      <c r="D45">
        <v>-2.3110177773250602E-2</v>
      </c>
      <c r="E45">
        <v>-2.14734212188816E-2</v>
      </c>
      <c r="F45">
        <v>3.1502885628696702</v>
      </c>
      <c r="G45">
        <f t="shared" si="3"/>
        <v>2.3110177773250602E-2</v>
      </c>
      <c r="H45">
        <f t="shared" si="4"/>
        <v>2.14734212188816E-2</v>
      </c>
      <c r="I45">
        <f t="shared" si="5"/>
        <v>3.1502885628696702</v>
      </c>
    </row>
    <row r="46" spans="1:9" x14ac:dyDescent="0.35">
      <c r="A46" t="s">
        <v>13</v>
      </c>
      <c r="B46" t="s">
        <v>20</v>
      </c>
      <c r="C46" t="s">
        <v>72</v>
      </c>
      <c r="D46">
        <v>-1.1048768495766E-2</v>
      </c>
      <c r="E46">
        <v>-2.3685785850913799E-2</v>
      </c>
      <c r="F46">
        <v>3.1434938211711101</v>
      </c>
      <c r="G46">
        <f t="shared" si="3"/>
        <v>1.1048768495766E-2</v>
      </c>
      <c r="H46">
        <f t="shared" si="4"/>
        <v>2.3685785850913799E-2</v>
      </c>
      <c r="I46">
        <f t="shared" si="5"/>
        <v>3.1434938211711101</v>
      </c>
    </row>
    <row r="47" spans="1:9" x14ac:dyDescent="0.35">
      <c r="A47" t="s">
        <v>11</v>
      </c>
      <c r="B47" t="s">
        <v>12</v>
      </c>
      <c r="C47" t="s">
        <v>71</v>
      </c>
      <c r="D47">
        <v>-2.24364543097515E-2</v>
      </c>
      <c r="E47">
        <v>-2.0088277876277701E-2</v>
      </c>
      <c r="F47">
        <v>3.1163967543437998</v>
      </c>
      <c r="G47">
        <f t="shared" si="3"/>
        <v>2.24364543097515E-2</v>
      </c>
      <c r="H47">
        <f t="shared" si="4"/>
        <v>2.0088277876277701E-2</v>
      </c>
      <c r="I47">
        <f t="shared" si="5"/>
        <v>3.1163967543437998</v>
      </c>
    </row>
    <row r="48" spans="1:9" x14ac:dyDescent="0.35">
      <c r="A48" t="s">
        <v>36</v>
      </c>
      <c r="B48" t="s">
        <v>39</v>
      </c>
      <c r="C48" t="s">
        <v>7</v>
      </c>
      <c r="D48">
        <v>-6.9725978465290002E-3</v>
      </c>
      <c r="E48">
        <v>3.0787406978758001E-3</v>
      </c>
      <c r="F48">
        <v>3.0992698507805998</v>
      </c>
      <c r="G48">
        <f t="shared" si="3"/>
        <v>6.9725978465290002E-3</v>
      </c>
      <c r="H48">
        <f t="shared" si="4"/>
        <v>3.0787406978758001E-3</v>
      </c>
      <c r="I48">
        <f t="shared" si="5"/>
        <v>3.0992698507805998</v>
      </c>
    </row>
    <row r="49" spans="1:9" x14ac:dyDescent="0.35">
      <c r="A49" t="s">
        <v>11</v>
      </c>
      <c r="B49" t="s">
        <v>21</v>
      </c>
      <c r="C49" t="s">
        <v>7</v>
      </c>
      <c r="D49">
        <v>-1.5981284022265001E-2</v>
      </c>
      <c r="E49">
        <v>-1.1533348951565801E-2</v>
      </c>
      <c r="F49">
        <v>3.0836093808754699</v>
      </c>
      <c r="G49">
        <f t="shared" si="3"/>
        <v>1.5981284022265001E-2</v>
      </c>
      <c r="H49">
        <f t="shared" si="4"/>
        <v>1.1533348951565801E-2</v>
      </c>
      <c r="I49">
        <f t="shared" si="5"/>
        <v>3.0836093808754699</v>
      </c>
    </row>
    <row r="50" spans="1:9" x14ac:dyDescent="0.35">
      <c r="A50" t="s">
        <v>13</v>
      </c>
      <c r="B50" t="s">
        <v>22</v>
      </c>
      <c r="C50" t="s">
        <v>71</v>
      </c>
      <c r="D50">
        <v>-1.2884867836997301E-2</v>
      </c>
      <c r="E50">
        <v>-2.6597311189392701E-2</v>
      </c>
      <c r="F50">
        <v>3.0753801776357301</v>
      </c>
      <c r="G50">
        <f t="shared" si="3"/>
        <v>1.2884867836997301E-2</v>
      </c>
      <c r="H50">
        <f t="shared" si="4"/>
        <v>2.6597311189392701E-2</v>
      </c>
      <c r="I50">
        <f t="shared" si="5"/>
        <v>3.0753801776357301</v>
      </c>
    </row>
    <row r="51" spans="1:9" x14ac:dyDescent="0.35">
      <c r="A51" t="s">
        <v>41</v>
      </c>
      <c r="B51" t="s">
        <v>42</v>
      </c>
      <c r="C51" t="s">
        <v>7</v>
      </c>
      <c r="D51">
        <v>-5.7814627301268004E-3</v>
      </c>
      <c r="E51">
        <v>-2.7280536733096999E-3</v>
      </c>
      <c r="F51">
        <v>3.0656596702417098</v>
      </c>
      <c r="G51">
        <f t="shared" si="3"/>
        <v>5.7814627301268004E-3</v>
      </c>
      <c r="H51">
        <f t="shared" si="4"/>
        <v>2.7280536733096999E-3</v>
      </c>
      <c r="I51">
        <f t="shared" si="5"/>
        <v>3.0656596702417098</v>
      </c>
    </row>
    <row r="52" spans="1:9" x14ac:dyDescent="0.35">
      <c r="A52" t="s">
        <v>62</v>
      </c>
      <c r="B52" t="s">
        <v>66</v>
      </c>
      <c r="C52" t="s">
        <v>7</v>
      </c>
      <c r="D52">
        <v>1.6284052948799001E-3</v>
      </c>
      <c r="E52">
        <v>-7.3145221880613004E-3</v>
      </c>
      <c r="F52">
        <v>3.06417443542166</v>
      </c>
      <c r="G52">
        <f t="shared" si="3"/>
        <v>1.6284052948799001E-3</v>
      </c>
      <c r="H52">
        <f t="shared" si="4"/>
        <v>7.3145221880613004E-3</v>
      </c>
      <c r="I52">
        <f t="shared" si="5"/>
        <v>3.06417443542166</v>
      </c>
    </row>
    <row r="53" spans="1:9" x14ac:dyDescent="0.35">
      <c r="A53" t="s">
        <v>57</v>
      </c>
      <c r="B53" t="s">
        <v>70</v>
      </c>
      <c r="C53" t="s">
        <v>71</v>
      </c>
      <c r="D53">
        <v>-6.100869564229E-4</v>
      </c>
      <c r="E53">
        <v>1.5769605209871002E-2</v>
      </c>
      <c r="F53">
        <v>3.0104562495004501</v>
      </c>
      <c r="G53">
        <f t="shared" si="3"/>
        <v>6.100869564229E-4</v>
      </c>
      <c r="H53">
        <f t="shared" si="4"/>
        <v>1.5769605209871002E-2</v>
      </c>
      <c r="I53">
        <f t="shared" si="5"/>
        <v>3.0104562495004501</v>
      </c>
    </row>
    <row r="54" spans="1:9" x14ac:dyDescent="0.35">
      <c r="A54" t="s">
        <v>57</v>
      </c>
      <c r="B54" t="s">
        <v>69</v>
      </c>
      <c r="C54" t="s">
        <v>7</v>
      </c>
      <c r="D54">
        <v>4.925946268394E-4</v>
      </c>
      <c r="E54">
        <v>1.58331595402268E-2</v>
      </c>
      <c r="F54">
        <v>3.0055670596653199</v>
      </c>
      <c r="G54">
        <f t="shared" si="3"/>
        <v>4.925946268394E-4</v>
      </c>
      <c r="H54">
        <f t="shared" si="4"/>
        <v>1.58331595402268E-2</v>
      </c>
      <c r="I54">
        <f t="shared" si="5"/>
        <v>3.0055670596653199</v>
      </c>
    </row>
    <row r="55" spans="1:9" x14ac:dyDescent="0.35">
      <c r="A55" t="s">
        <v>36</v>
      </c>
      <c r="B55" t="s">
        <v>38</v>
      </c>
      <c r="C55" t="s">
        <v>72</v>
      </c>
      <c r="D55">
        <v>-1.23870355141755E-2</v>
      </c>
      <c r="E55" s="1">
        <v>9.3135982679375801E-5</v>
      </c>
      <c r="F55">
        <v>2.9528298658757599</v>
      </c>
      <c r="G55">
        <f t="shared" si="3"/>
        <v>1.23870355141755E-2</v>
      </c>
      <c r="H55">
        <f t="shared" si="4"/>
        <v>9.3135982679375801E-5</v>
      </c>
      <c r="I55">
        <f t="shared" si="5"/>
        <v>2.9528298658757599</v>
      </c>
    </row>
    <row r="56" spans="1:9" x14ac:dyDescent="0.35">
      <c r="A56" t="s">
        <v>41</v>
      </c>
      <c r="B56" t="s">
        <v>45</v>
      </c>
      <c r="C56" t="s">
        <v>7</v>
      </c>
      <c r="D56">
        <v>-5.4340107896570997E-3</v>
      </c>
      <c r="E56">
        <v>-4.2284739966706002E-3</v>
      </c>
      <c r="F56">
        <v>2.9397953991399901</v>
      </c>
      <c r="G56">
        <f t="shared" si="3"/>
        <v>5.4340107896570997E-3</v>
      </c>
      <c r="H56">
        <f t="shared" si="4"/>
        <v>4.2284739966706002E-3</v>
      </c>
      <c r="I56">
        <f t="shared" si="5"/>
        <v>2.9397953991399901</v>
      </c>
    </row>
    <row r="57" spans="1:9" x14ac:dyDescent="0.35">
      <c r="A57" t="s">
        <v>52</v>
      </c>
      <c r="B57" t="s">
        <v>55</v>
      </c>
      <c r="C57" t="s">
        <v>7</v>
      </c>
      <c r="D57">
        <v>-3.2074678967692E-3</v>
      </c>
      <c r="E57">
        <v>-5.7068206861216001E-3</v>
      </c>
      <c r="F57">
        <v>2.9325366736771299</v>
      </c>
      <c r="G57">
        <f t="shared" si="3"/>
        <v>3.2074678967692E-3</v>
      </c>
      <c r="H57">
        <f t="shared" si="4"/>
        <v>5.7068206861216001E-3</v>
      </c>
      <c r="I57">
        <f t="shared" si="5"/>
        <v>2.9325366736771299</v>
      </c>
    </row>
    <row r="58" spans="1:9" x14ac:dyDescent="0.35">
      <c r="A58" t="s">
        <v>13</v>
      </c>
      <c r="B58" t="s">
        <v>18</v>
      </c>
      <c r="C58" t="s">
        <v>72</v>
      </c>
      <c r="D58">
        <v>-1.3259733510336E-2</v>
      </c>
      <c r="E58">
        <v>-2.4699411928416501E-2</v>
      </c>
      <c r="F58">
        <v>2.9124424357947301</v>
      </c>
      <c r="G58">
        <f t="shared" si="3"/>
        <v>1.3259733510336E-2</v>
      </c>
      <c r="H58">
        <f t="shared" si="4"/>
        <v>2.4699411928416501E-2</v>
      </c>
      <c r="I58">
        <f t="shared" si="5"/>
        <v>2.9124424357947301</v>
      </c>
    </row>
    <row r="59" spans="1:9" x14ac:dyDescent="0.35">
      <c r="A59" t="s">
        <v>41</v>
      </c>
      <c r="B59" t="s">
        <v>45</v>
      </c>
      <c r="C59" t="s">
        <v>71</v>
      </c>
      <c r="D59">
        <v>-7.7919599401804996E-3</v>
      </c>
      <c r="E59">
        <v>-7.5479922962435001E-3</v>
      </c>
      <c r="F59">
        <v>2.8942909867734299</v>
      </c>
      <c r="G59">
        <f t="shared" si="3"/>
        <v>7.7919599401804996E-3</v>
      </c>
      <c r="H59">
        <f t="shared" si="4"/>
        <v>7.5479922962435001E-3</v>
      </c>
      <c r="I59">
        <f t="shared" si="5"/>
        <v>2.8942909867734299</v>
      </c>
    </row>
    <row r="60" spans="1:9" x14ac:dyDescent="0.35">
      <c r="A60" t="s">
        <v>11</v>
      </c>
      <c r="B60" t="s">
        <v>12</v>
      </c>
      <c r="C60" t="s">
        <v>7</v>
      </c>
      <c r="D60">
        <v>-2.0406702774969698E-2</v>
      </c>
      <c r="E60">
        <v>-1.6722189728263601E-2</v>
      </c>
      <c r="F60">
        <v>2.8574264359961798</v>
      </c>
      <c r="G60">
        <f t="shared" si="3"/>
        <v>2.0406702774969698E-2</v>
      </c>
      <c r="H60">
        <f t="shared" si="4"/>
        <v>1.6722189728263601E-2</v>
      </c>
      <c r="I60">
        <f t="shared" si="5"/>
        <v>2.8574264359961798</v>
      </c>
    </row>
    <row r="61" spans="1:9" x14ac:dyDescent="0.35">
      <c r="A61" t="s">
        <v>36</v>
      </c>
      <c r="B61" t="s">
        <v>38</v>
      </c>
      <c r="C61" t="s">
        <v>71</v>
      </c>
      <c r="D61">
        <v>-1.0844779066824701E-2</v>
      </c>
      <c r="E61">
        <v>8.9716488626199998E-4</v>
      </c>
      <c r="F61">
        <v>2.8443100690587699</v>
      </c>
      <c r="G61">
        <f t="shared" si="3"/>
        <v>1.0844779066824701E-2</v>
      </c>
      <c r="H61">
        <f t="shared" si="4"/>
        <v>8.9716488626199998E-4</v>
      </c>
      <c r="I61">
        <f t="shared" si="5"/>
        <v>2.8443100690587699</v>
      </c>
    </row>
    <row r="62" spans="1:9" x14ac:dyDescent="0.35">
      <c r="A62" t="s">
        <v>52</v>
      </c>
      <c r="B62" t="s">
        <v>55</v>
      </c>
      <c r="C62" t="s">
        <v>71</v>
      </c>
      <c r="D62">
        <v>-4.4241603124766998E-3</v>
      </c>
      <c r="E62">
        <v>-8.2503618108617002E-3</v>
      </c>
      <c r="F62">
        <v>2.8386226968669899</v>
      </c>
      <c r="G62">
        <f t="shared" si="3"/>
        <v>4.4241603124766998E-3</v>
      </c>
      <c r="H62">
        <f t="shared" si="4"/>
        <v>8.2503618108617002E-3</v>
      </c>
      <c r="I62">
        <f t="shared" si="5"/>
        <v>2.8386226968669899</v>
      </c>
    </row>
    <row r="63" spans="1:9" x14ac:dyDescent="0.35">
      <c r="A63" t="s">
        <v>36</v>
      </c>
      <c r="B63" t="s">
        <v>40</v>
      </c>
      <c r="C63" t="s">
        <v>71</v>
      </c>
      <c r="D63">
        <v>-9.9348288326599008E-3</v>
      </c>
      <c r="E63">
        <v>3.9440001409970002E-4</v>
      </c>
      <c r="F63">
        <v>2.8307832032095601</v>
      </c>
      <c r="G63">
        <f t="shared" si="3"/>
        <v>9.9348288326599008E-3</v>
      </c>
      <c r="H63">
        <f t="shared" si="4"/>
        <v>3.9440001409970002E-4</v>
      </c>
      <c r="I63">
        <f t="shared" si="5"/>
        <v>2.8307832032095601</v>
      </c>
    </row>
    <row r="64" spans="1:9" x14ac:dyDescent="0.35">
      <c r="A64" t="s">
        <v>48</v>
      </c>
      <c r="B64" t="s">
        <v>50</v>
      </c>
      <c r="C64" t="s">
        <v>7</v>
      </c>
      <c r="D64">
        <v>3.8291333397815E-3</v>
      </c>
      <c r="E64">
        <v>6.9492506505464003E-3</v>
      </c>
      <c r="F64">
        <v>2.7934052314183302</v>
      </c>
      <c r="G64">
        <f t="shared" si="3"/>
        <v>3.8291333397815E-3</v>
      </c>
      <c r="H64">
        <f t="shared" si="4"/>
        <v>6.9492506505464003E-3</v>
      </c>
      <c r="I64">
        <f t="shared" si="5"/>
        <v>2.7934052314183302</v>
      </c>
    </row>
    <row r="65" spans="1:9" x14ac:dyDescent="0.35">
      <c r="A65" t="s">
        <v>41</v>
      </c>
      <c r="B65" t="s">
        <v>45</v>
      </c>
      <c r="C65" t="s">
        <v>72</v>
      </c>
      <c r="D65">
        <v>-9.2534393003533E-3</v>
      </c>
      <c r="E65">
        <v>-9.6060142363984004E-3</v>
      </c>
      <c r="F65">
        <v>2.7916706054174898</v>
      </c>
      <c r="G65">
        <f t="shared" si="3"/>
        <v>9.2534393003533E-3</v>
      </c>
      <c r="H65">
        <f t="shared" si="4"/>
        <v>9.6060142363984004E-3</v>
      </c>
      <c r="I65">
        <f t="shared" si="5"/>
        <v>2.7916706054174898</v>
      </c>
    </row>
    <row r="66" spans="1:9" x14ac:dyDescent="0.35">
      <c r="A66" t="s">
        <v>36</v>
      </c>
      <c r="B66" t="s">
        <v>40</v>
      </c>
      <c r="C66" t="s">
        <v>7</v>
      </c>
      <c r="D66">
        <v>-6.946892513067E-3</v>
      </c>
      <c r="E66">
        <v>2.3500956029362998E-3</v>
      </c>
      <c r="F66">
        <v>2.7796675104467199</v>
      </c>
      <c r="G66">
        <f t="shared" ref="G66:G97" si="6">ABS(D66)</f>
        <v>6.946892513067E-3</v>
      </c>
      <c r="H66">
        <f t="shared" ref="H66:H97" si="7">ABS(E66)</f>
        <v>2.3500956029362998E-3</v>
      </c>
      <c r="I66">
        <f t="shared" ref="I66:I97" si="8">ABS(F66)</f>
        <v>2.7796675104467199</v>
      </c>
    </row>
    <row r="67" spans="1:9" x14ac:dyDescent="0.35">
      <c r="A67" t="s">
        <v>57</v>
      </c>
      <c r="B67" t="s">
        <v>58</v>
      </c>
      <c r="C67" t="s">
        <v>72</v>
      </c>
      <c r="D67">
        <v>-3.7254566906115998E-3</v>
      </c>
      <c r="E67">
        <v>9.2315765608461005E-3</v>
      </c>
      <c r="F67">
        <v>2.7712614209953501</v>
      </c>
      <c r="G67">
        <f t="shared" si="6"/>
        <v>3.7254566906115998E-3</v>
      </c>
      <c r="H67">
        <f t="shared" si="7"/>
        <v>9.2315765608461005E-3</v>
      </c>
      <c r="I67">
        <f t="shared" si="8"/>
        <v>2.7712614209953501</v>
      </c>
    </row>
    <row r="68" spans="1:9" x14ac:dyDescent="0.35">
      <c r="A68" t="s">
        <v>13</v>
      </c>
      <c r="B68" t="s">
        <v>14</v>
      </c>
      <c r="C68" t="s">
        <v>7</v>
      </c>
      <c r="D68">
        <v>-2.0336248164398201E-2</v>
      </c>
      <c r="E68">
        <v>-3.1390083758625398E-2</v>
      </c>
      <c r="F68">
        <v>2.7622362150979902</v>
      </c>
      <c r="G68">
        <f t="shared" si="6"/>
        <v>2.0336248164398201E-2</v>
      </c>
      <c r="H68">
        <f t="shared" si="7"/>
        <v>3.1390083758625398E-2</v>
      </c>
      <c r="I68">
        <f t="shared" si="8"/>
        <v>2.7622362150979902</v>
      </c>
    </row>
    <row r="69" spans="1:9" x14ac:dyDescent="0.35">
      <c r="A69" t="s">
        <v>62</v>
      </c>
      <c r="B69" t="s">
        <v>63</v>
      </c>
      <c r="C69" t="s">
        <v>71</v>
      </c>
      <c r="D69">
        <v>2.1385645121968001E-3</v>
      </c>
      <c r="E69">
        <v>-9.5668534799210996E-3</v>
      </c>
      <c r="F69">
        <v>2.7091422340032598</v>
      </c>
      <c r="G69">
        <f t="shared" si="6"/>
        <v>2.1385645121968001E-3</v>
      </c>
      <c r="H69">
        <f t="shared" si="7"/>
        <v>9.5668534799210996E-3</v>
      </c>
      <c r="I69">
        <f t="shared" si="8"/>
        <v>2.7091422340032598</v>
      </c>
    </row>
    <row r="70" spans="1:9" x14ac:dyDescent="0.35">
      <c r="A70" t="s">
        <v>36</v>
      </c>
      <c r="B70" t="s">
        <v>40</v>
      </c>
      <c r="C70" t="s">
        <v>72</v>
      </c>
      <c r="D70">
        <v>-1.17415025613969E-2</v>
      </c>
      <c r="E70">
        <v>-5.3278176022990005E-4</v>
      </c>
      <c r="F70">
        <v>2.7076510300680998</v>
      </c>
      <c r="G70">
        <f t="shared" si="6"/>
        <v>1.17415025613969E-2</v>
      </c>
      <c r="H70">
        <f t="shared" si="7"/>
        <v>5.3278176022990005E-4</v>
      </c>
      <c r="I70">
        <f t="shared" si="8"/>
        <v>2.7076510300680998</v>
      </c>
    </row>
    <row r="71" spans="1:9" x14ac:dyDescent="0.35">
      <c r="A71" t="s">
        <v>5</v>
      </c>
      <c r="B71" t="s">
        <v>23</v>
      </c>
      <c r="C71" t="s">
        <v>7</v>
      </c>
      <c r="D71">
        <v>-1.5202026515051601E-2</v>
      </c>
      <c r="E71">
        <v>-2.83287494726292E-2</v>
      </c>
      <c r="F71">
        <v>-2.6875660623575599</v>
      </c>
      <c r="G71">
        <f t="shared" si="6"/>
        <v>1.5202026515051601E-2</v>
      </c>
      <c r="H71">
        <f t="shared" si="7"/>
        <v>2.83287494726292E-2</v>
      </c>
      <c r="I71">
        <f t="shared" si="8"/>
        <v>2.6875660623575599</v>
      </c>
    </row>
    <row r="72" spans="1:9" x14ac:dyDescent="0.35">
      <c r="A72" t="s">
        <v>57</v>
      </c>
      <c r="B72" t="s">
        <v>58</v>
      </c>
      <c r="C72" t="s">
        <v>71</v>
      </c>
      <c r="D72">
        <v>-3.1713851133630001E-3</v>
      </c>
      <c r="E72">
        <v>1.02802101406514E-2</v>
      </c>
      <c r="F72">
        <v>2.6798276389704698</v>
      </c>
      <c r="G72">
        <f t="shared" si="6"/>
        <v>3.1713851133630001E-3</v>
      </c>
      <c r="H72">
        <f t="shared" si="7"/>
        <v>1.02802101406514E-2</v>
      </c>
      <c r="I72">
        <f t="shared" si="8"/>
        <v>2.6798276389704698</v>
      </c>
    </row>
    <row r="73" spans="1:9" x14ac:dyDescent="0.35">
      <c r="A73" t="s">
        <v>13</v>
      </c>
      <c r="B73" t="s">
        <v>15</v>
      </c>
      <c r="C73" t="s">
        <v>7</v>
      </c>
      <c r="D73">
        <v>-1.94543586464405E-2</v>
      </c>
      <c r="E73">
        <v>-3.17997271702187E-2</v>
      </c>
      <c r="F73">
        <v>2.6710168349011401</v>
      </c>
      <c r="G73">
        <f t="shared" si="6"/>
        <v>1.94543586464405E-2</v>
      </c>
      <c r="H73">
        <f t="shared" si="7"/>
        <v>3.17997271702187E-2</v>
      </c>
      <c r="I73">
        <f t="shared" si="8"/>
        <v>2.6710168349011401</v>
      </c>
    </row>
    <row r="74" spans="1:9" x14ac:dyDescent="0.35">
      <c r="A74" t="s">
        <v>62</v>
      </c>
      <c r="B74" t="s">
        <v>63</v>
      </c>
      <c r="C74" t="s">
        <v>7</v>
      </c>
      <c r="D74">
        <v>1.7489232473508001E-3</v>
      </c>
      <c r="E74">
        <v>-8.9938020770919998E-3</v>
      </c>
      <c r="F74">
        <v>2.6556465069848199</v>
      </c>
      <c r="G74">
        <f t="shared" si="6"/>
        <v>1.7489232473508001E-3</v>
      </c>
      <c r="H74">
        <f t="shared" si="7"/>
        <v>8.9938020770919998E-3</v>
      </c>
      <c r="I74">
        <f t="shared" si="8"/>
        <v>2.6556465069848199</v>
      </c>
    </row>
    <row r="75" spans="1:9" x14ac:dyDescent="0.35">
      <c r="A75" t="s">
        <v>62</v>
      </c>
      <c r="B75" t="s">
        <v>64</v>
      </c>
      <c r="C75" t="s">
        <v>72</v>
      </c>
      <c r="D75">
        <v>2.8618925525618001E-3</v>
      </c>
      <c r="E75">
        <v>-7.0210376454988002E-3</v>
      </c>
      <c r="F75">
        <v>2.6498178952378102</v>
      </c>
      <c r="G75">
        <f t="shared" si="6"/>
        <v>2.8618925525618001E-3</v>
      </c>
      <c r="H75">
        <f t="shared" si="7"/>
        <v>7.0210376454988002E-3</v>
      </c>
      <c r="I75">
        <f t="shared" si="8"/>
        <v>2.6498178952378102</v>
      </c>
    </row>
    <row r="76" spans="1:9" x14ac:dyDescent="0.35">
      <c r="A76" t="s">
        <v>13</v>
      </c>
      <c r="B76" t="s">
        <v>20</v>
      </c>
      <c r="C76" t="s">
        <v>7</v>
      </c>
      <c r="D76">
        <v>-1.6291326549741199E-2</v>
      </c>
      <c r="E76">
        <v>-2.8401411436337301E-2</v>
      </c>
      <c r="F76">
        <v>2.6325200530706199</v>
      </c>
      <c r="G76">
        <f t="shared" si="6"/>
        <v>1.6291326549741199E-2</v>
      </c>
      <c r="H76">
        <f t="shared" si="7"/>
        <v>2.8401411436337301E-2</v>
      </c>
      <c r="I76">
        <f t="shared" si="8"/>
        <v>2.6325200530706199</v>
      </c>
    </row>
    <row r="77" spans="1:9" x14ac:dyDescent="0.35">
      <c r="A77" t="s">
        <v>36</v>
      </c>
      <c r="B77" t="s">
        <v>37</v>
      </c>
      <c r="C77" t="s">
        <v>72</v>
      </c>
      <c r="D77">
        <v>-1.4271833160488899E-2</v>
      </c>
      <c r="E77">
        <v>-9.3456013716009998E-4</v>
      </c>
      <c r="F77">
        <v>2.6261786966665901</v>
      </c>
      <c r="G77">
        <f t="shared" si="6"/>
        <v>1.4271833160488899E-2</v>
      </c>
      <c r="H77">
        <f t="shared" si="7"/>
        <v>9.3456013716009998E-4</v>
      </c>
      <c r="I77">
        <f t="shared" si="8"/>
        <v>2.6261786966665901</v>
      </c>
    </row>
    <row r="78" spans="1:9" x14ac:dyDescent="0.35">
      <c r="A78" t="s">
        <v>52</v>
      </c>
      <c r="B78" t="s">
        <v>56</v>
      </c>
      <c r="C78" t="s">
        <v>71</v>
      </c>
      <c r="D78">
        <v>-3.7493227231706998E-3</v>
      </c>
      <c r="E78">
        <v>-7.3883178198768003E-3</v>
      </c>
      <c r="F78">
        <v>2.6048496449698799</v>
      </c>
      <c r="G78">
        <f t="shared" si="6"/>
        <v>3.7493227231706998E-3</v>
      </c>
      <c r="H78">
        <f t="shared" si="7"/>
        <v>7.3883178198768003E-3</v>
      </c>
      <c r="I78">
        <f t="shared" si="8"/>
        <v>2.6048496449698799</v>
      </c>
    </row>
    <row r="79" spans="1:9" x14ac:dyDescent="0.35">
      <c r="A79" t="s">
        <v>62</v>
      </c>
      <c r="B79" t="s">
        <v>66</v>
      </c>
      <c r="C79" t="s">
        <v>71</v>
      </c>
      <c r="D79">
        <v>2.3205334486770001E-3</v>
      </c>
      <c r="E79">
        <v>-8.0793085110211996E-3</v>
      </c>
      <c r="F79">
        <v>2.5987298667389598</v>
      </c>
      <c r="G79">
        <f t="shared" si="6"/>
        <v>2.3205334486770001E-3</v>
      </c>
      <c r="H79">
        <f t="shared" si="7"/>
        <v>8.0793085110211996E-3</v>
      </c>
      <c r="I79">
        <f t="shared" si="8"/>
        <v>2.5987298667389598</v>
      </c>
    </row>
    <row r="80" spans="1:9" x14ac:dyDescent="0.35">
      <c r="A80" t="s">
        <v>52</v>
      </c>
      <c r="B80" t="s">
        <v>54</v>
      </c>
      <c r="C80" t="s">
        <v>72</v>
      </c>
      <c r="D80">
        <v>-5.1141230560940998E-3</v>
      </c>
      <c r="E80">
        <v>-9.4083565686223E-3</v>
      </c>
      <c r="F80">
        <v>2.5902473045608101</v>
      </c>
      <c r="G80">
        <f t="shared" si="6"/>
        <v>5.1141230560940998E-3</v>
      </c>
      <c r="H80">
        <f t="shared" si="7"/>
        <v>9.4083565686223E-3</v>
      </c>
      <c r="I80">
        <f t="shared" si="8"/>
        <v>2.5902473045608101</v>
      </c>
    </row>
    <row r="81" spans="1:9" x14ac:dyDescent="0.35">
      <c r="A81" t="s">
        <v>13</v>
      </c>
      <c r="B81" t="s">
        <v>15</v>
      </c>
      <c r="C81" t="s">
        <v>72</v>
      </c>
      <c r="D81">
        <v>-1.36517468511239E-2</v>
      </c>
      <c r="E81">
        <v>-2.4083358319134499E-2</v>
      </c>
      <c r="F81">
        <v>2.5695818468715799</v>
      </c>
      <c r="G81">
        <f t="shared" si="6"/>
        <v>1.36517468511239E-2</v>
      </c>
      <c r="H81">
        <f t="shared" si="7"/>
        <v>2.4083358319134499E-2</v>
      </c>
      <c r="I81">
        <f t="shared" si="8"/>
        <v>2.5695818468715799</v>
      </c>
    </row>
    <row r="82" spans="1:9" x14ac:dyDescent="0.35">
      <c r="A82" t="s">
        <v>13</v>
      </c>
      <c r="B82" t="s">
        <v>27</v>
      </c>
      <c r="C82" t="s">
        <v>7</v>
      </c>
      <c r="D82">
        <v>-1.35667000859987E-2</v>
      </c>
      <c r="E82">
        <v>-2.63234790600754E-2</v>
      </c>
      <c r="F82">
        <v>2.5545048436682798</v>
      </c>
      <c r="G82">
        <f t="shared" si="6"/>
        <v>1.35667000859987E-2</v>
      </c>
      <c r="H82">
        <f t="shared" si="7"/>
        <v>2.63234790600754E-2</v>
      </c>
      <c r="I82">
        <f t="shared" si="8"/>
        <v>2.5545048436682798</v>
      </c>
    </row>
    <row r="83" spans="1:9" x14ac:dyDescent="0.35">
      <c r="A83" t="s">
        <v>13</v>
      </c>
      <c r="B83" t="s">
        <v>14</v>
      </c>
      <c r="C83" t="s">
        <v>72</v>
      </c>
      <c r="D83">
        <v>-1.3369528314097099E-2</v>
      </c>
      <c r="E83">
        <v>-2.3129456803883699E-2</v>
      </c>
      <c r="F83">
        <v>2.5466474583257401</v>
      </c>
      <c r="G83">
        <f t="shared" si="6"/>
        <v>1.3369528314097099E-2</v>
      </c>
      <c r="H83">
        <f t="shared" si="7"/>
        <v>2.3129456803883699E-2</v>
      </c>
      <c r="I83">
        <f t="shared" si="8"/>
        <v>2.5466474583257401</v>
      </c>
    </row>
    <row r="84" spans="1:9" x14ac:dyDescent="0.35">
      <c r="A84" t="s">
        <v>62</v>
      </c>
      <c r="B84" t="s">
        <v>63</v>
      </c>
      <c r="C84" t="s">
        <v>72</v>
      </c>
      <c r="D84">
        <v>2.2765933350155001E-3</v>
      </c>
      <c r="E84">
        <v>-9.8150642425647999E-3</v>
      </c>
      <c r="F84">
        <v>2.52797891642627</v>
      </c>
      <c r="G84">
        <f t="shared" si="6"/>
        <v>2.2765933350155001E-3</v>
      </c>
      <c r="H84">
        <f t="shared" si="7"/>
        <v>9.8150642425647999E-3</v>
      </c>
      <c r="I84">
        <f t="shared" si="8"/>
        <v>2.52797891642627</v>
      </c>
    </row>
    <row r="85" spans="1:9" x14ac:dyDescent="0.35">
      <c r="A85" t="s">
        <v>52</v>
      </c>
      <c r="B85" t="s">
        <v>53</v>
      </c>
      <c r="C85" t="s">
        <v>72</v>
      </c>
      <c r="D85">
        <v>-5.5204235872645998E-3</v>
      </c>
      <c r="E85">
        <v>-9.8417064577428007E-3</v>
      </c>
      <c r="F85">
        <v>2.5267753895801301</v>
      </c>
      <c r="G85">
        <f t="shared" si="6"/>
        <v>5.5204235872645998E-3</v>
      </c>
      <c r="H85">
        <f t="shared" si="7"/>
        <v>9.8417064577428007E-3</v>
      </c>
      <c r="I85">
        <f t="shared" si="8"/>
        <v>2.5267753895801301</v>
      </c>
    </row>
    <row r="86" spans="1:9" x14ac:dyDescent="0.35">
      <c r="A86" t="s">
        <v>36</v>
      </c>
      <c r="B86" t="s">
        <v>37</v>
      </c>
      <c r="C86" t="s">
        <v>7</v>
      </c>
      <c r="D86">
        <v>-1.00659922505564E-2</v>
      </c>
      <c r="E86">
        <v>2.5163217106705001E-3</v>
      </c>
      <c r="F86">
        <v>2.51579881406705</v>
      </c>
      <c r="G86">
        <f t="shared" si="6"/>
        <v>1.00659922505564E-2</v>
      </c>
      <c r="H86">
        <f t="shared" si="7"/>
        <v>2.5163217106705001E-3</v>
      </c>
      <c r="I86">
        <f t="shared" si="8"/>
        <v>2.51579881406705</v>
      </c>
    </row>
    <row r="87" spans="1:9" x14ac:dyDescent="0.35">
      <c r="A87" t="s">
        <v>25</v>
      </c>
      <c r="B87" t="s">
        <v>26</v>
      </c>
      <c r="C87" t="s">
        <v>7</v>
      </c>
      <c r="D87">
        <v>-1.4517208042711E-2</v>
      </c>
      <c r="E87">
        <v>-2.49585073303649E-2</v>
      </c>
      <c r="F87">
        <v>2.5102604688666199</v>
      </c>
      <c r="G87">
        <f t="shared" si="6"/>
        <v>1.4517208042711E-2</v>
      </c>
      <c r="H87">
        <f t="shared" si="7"/>
        <v>2.49585073303649E-2</v>
      </c>
      <c r="I87">
        <f t="shared" si="8"/>
        <v>2.5102604688666199</v>
      </c>
    </row>
    <row r="88" spans="1:9" x14ac:dyDescent="0.35">
      <c r="A88" t="s">
        <v>36</v>
      </c>
      <c r="B88" t="s">
        <v>38</v>
      </c>
      <c r="C88" t="s">
        <v>7</v>
      </c>
      <c r="D88">
        <v>-8.0989933921307E-3</v>
      </c>
      <c r="E88">
        <v>2.8985186567265001E-3</v>
      </c>
      <c r="F88">
        <v>2.48804763177663</v>
      </c>
      <c r="G88">
        <f t="shared" si="6"/>
        <v>8.0989933921307E-3</v>
      </c>
      <c r="H88">
        <f t="shared" si="7"/>
        <v>2.8985186567265001E-3</v>
      </c>
      <c r="I88">
        <f t="shared" si="8"/>
        <v>2.48804763177663</v>
      </c>
    </row>
    <row r="89" spans="1:9" x14ac:dyDescent="0.35">
      <c r="A89" t="s">
        <v>5</v>
      </c>
      <c r="B89" t="s">
        <v>9</v>
      </c>
      <c r="C89" t="s">
        <v>72</v>
      </c>
      <c r="D89">
        <v>-1.85174836897097E-2</v>
      </c>
      <c r="E89">
        <v>-3.5162764567057601E-2</v>
      </c>
      <c r="F89">
        <v>-2.48322733499533</v>
      </c>
      <c r="G89">
        <f t="shared" si="6"/>
        <v>1.85174836897097E-2</v>
      </c>
      <c r="H89">
        <f t="shared" si="7"/>
        <v>3.5162764567057601E-2</v>
      </c>
      <c r="I89">
        <f t="shared" si="8"/>
        <v>2.48322733499533</v>
      </c>
    </row>
    <row r="90" spans="1:9" x14ac:dyDescent="0.35">
      <c r="A90" t="s">
        <v>13</v>
      </c>
      <c r="B90" t="s">
        <v>15</v>
      </c>
      <c r="C90" t="s">
        <v>71</v>
      </c>
      <c r="D90">
        <v>-1.5290872783003199E-2</v>
      </c>
      <c r="E90">
        <v>-2.7161747770253101E-2</v>
      </c>
      <c r="F90">
        <v>2.4767840849436999</v>
      </c>
      <c r="G90">
        <f t="shared" si="6"/>
        <v>1.5290872783003199E-2</v>
      </c>
      <c r="H90">
        <f t="shared" si="7"/>
        <v>2.7161747770253101E-2</v>
      </c>
      <c r="I90">
        <f t="shared" si="8"/>
        <v>2.4767840849436999</v>
      </c>
    </row>
    <row r="91" spans="1:9" x14ac:dyDescent="0.35">
      <c r="A91" t="s">
        <v>36</v>
      </c>
      <c r="B91" t="s">
        <v>37</v>
      </c>
      <c r="C91" t="s">
        <v>71</v>
      </c>
      <c r="D91">
        <v>-1.2688220636862599E-2</v>
      </c>
      <c r="E91">
        <v>3.3614526716939998E-4</v>
      </c>
      <c r="F91">
        <v>2.4761305242550899</v>
      </c>
      <c r="G91">
        <f t="shared" si="6"/>
        <v>1.2688220636862599E-2</v>
      </c>
      <c r="H91">
        <f t="shared" si="7"/>
        <v>3.3614526716939998E-4</v>
      </c>
      <c r="I91">
        <f t="shared" si="8"/>
        <v>2.4761305242550899</v>
      </c>
    </row>
    <row r="92" spans="1:9" x14ac:dyDescent="0.35">
      <c r="A92" t="s">
        <v>13</v>
      </c>
      <c r="B92" t="s">
        <v>14</v>
      </c>
      <c r="C92" t="s">
        <v>71</v>
      </c>
      <c r="D92">
        <v>-1.6559551414109499E-2</v>
      </c>
      <c r="E92">
        <v>-2.7317703783527499E-2</v>
      </c>
      <c r="F92">
        <v>2.47276486697081</v>
      </c>
      <c r="G92">
        <f t="shared" si="6"/>
        <v>1.6559551414109499E-2</v>
      </c>
      <c r="H92">
        <f t="shared" si="7"/>
        <v>2.7317703783527499E-2</v>
      </c>
      <c r="I92">
        <f t="shared" si="8"/>
        <v>2.47276486697081</v>
      </c>
    </row>
    <row r="93" spans="1:9" x14ac:dyDescent="0.35">
      <c r="A93" t="s">
        <v>41</v>
      </c>
      <c r="B93" t="s">
        <v>46</v>
      </c>
      <c r="C93" t="s">
        <v>71</v>
      </c>
      <c r="D93">
        <v>-7.9578664711571993E-3</v>
      </c>
      <c r="E93">
        <v>-9.1024221182635992E-3</v>
      </c>
      <c r="F93">
        <v>2.4649466316228601</v>
      </c>
      <c r="G93">
        <f t="shared" si="6"/>
        <v>7.9578664711571993E-3</v>
      </c>
      <c r="H93">
        <f t="shared" si="7"/>
        <v>9.1024221182635992E-3</v>
      </c>
      <c r="I93">
        <f t="shared" si="8"/>
        <v>2.4649466316228601</v>
      </c>
    </row>
    <row r="94" spans="1:9" x14ac:dyDescent="0.35">
      <c r="A94" t="s">
        <v>41</v>
      </c>
      <c r="B94" t="s">
        <v>46</v>
      </c>
      <c r="C94" t="s">
        <v>7</v>
      </c>
      <c r="D94">
        <v>-5.4078177580298E-3</v>
      </c>
      <c r="E94">
        <v>-5.5299121010810998E-3</v>
      </c>
      <c r="F94">
        <v>2.4640176958994102</v>
      </c>
      <c r="G94">
        <f t="shared" si="6"/>
        <v>5.4078177580298E-3</v>
      </c>
      <c r="H94">
        <f t="shared" si="7"/>
        <v>5.5299121010810998E-3</v>
      </c>
      <c r="I94">
        <f t="shared" si="8"/>
        <v>2.4640176958994102</v>
      </c>
    </row>
    <row r="95" spans="1:9" x14ac:dyDescent="0.35">
      <c r="A95" t="s">
        <v>13</v>
      </c>
      <c r="B95" t="s">
        <v>18</v>
      </c>
      <c r="C95" t="s">
        <v>7</v>
      </c>
      <c r="D95">
        <v>-1.7252799866466599E-2</v>
      </c>
      <c r="E95">
        <v>-2.9441067566759498E-2</v>
      </c>
      <c r="F95">
        <v>2.4618701090237201</v>
      </c>
      <c r="G95">
        <f t="shared" si="6"/>
        <v>1.7252799866466599E-2</v>
      </c>
      <c r="H95">
        <f t="shared" si="7"/>
        <v>2.9441067566759498E-2</v>
      </c>
      <c r="I95">
        <f t="shared" si="8"/>
        <v>2.4618701090237201</v>
      </c>
    </row>
    <row r="96" spans="1:9" x14ac:dyDescent="0.35">
      <c r="A96" t="s">
        <v>57</v>
      </c>
      <c r="B96" t="s">
        <v>58</v>
      </c>
      <c r="C96" t="s">
        <v>7</v>
      </c>
      <c r="D96">
        <v>-2.4511415153012999E-3</v>
      </c>
      <c r="E96">
        <v>1.14573319437205E-2</v>
      </c>
      <c r="F96">
        <v>2.4496910510947201</v>
      </c>
      <c r="G96">
        <f t="shared" si="6"/>
        <v>2.4511415153012999E-3</v>
      </c>
      <c r="H96">
        <f t="shared" si="7"/>
        <v>1.14573319437205E-2</v>
      </c>
      <c r="I96">
        <f t="shared" si="8"/>
        <v>2.4496910510947201</v>
      </c>
    </row>
    <row r="97" spans="1:9" x14ac:dyDescent="0.35">
      <c r="A97" t="s">
        <v>41</v>
      </c>
      <c r="B97" t="s">
        <v>46</v>
      </c>
      <c r="C97" t="s">
        <v>72</v>
      </c>
      <c r="D97">
        <v>-9.9132799286923007E-3</v>
      </c>
      <c r="E97">
        <v>-1.17740866299938E-2</v>
      </c>
      <c r="F97">
        <v>2.4195196214317898</v>
      </c>
      <c r="G97">
        <f t="shared" si="6"/>
        <v>9.9132799286923007E-3</v>
      </c>
      <c r="H97">
        <f t="shared" si="7"/>
        <v>1.17740866299938E-2</v>
      </c>
      <c r="I97">
        <f t="shared" si="8"/>
        <v>2.4195196214317898</v>
      </c>
    </row>
    <row r="98" spans="1:9" x14ac:dyDescent="0.35">
      <c r="A98" t="s">
        <v>57</v>
      </c>
      <c r="B98" t="s">
        <v>70</v>
      </c>
      <c r="C98" t="s">
        <v>7</v>
      </c>
      <c r="D98" s="1">
        <v>6.3171887219314596E-6</v>
      </c>
      <c r="E98">
        <v>1.56772297217769E-2</v>
      </c>
      <c r="F98">
        <v>2.4093700493756698</v>
      </c>
      <c r="G98">
        <f t="shared" ref="G98:G129" si="9">ABS(D98)</f>
        <v>6.3171887219314596E-6</v>
      </c>
      <c r="H98">
        <f t="shared" ref="H98:H129" si="10">ABS(E98)</f>
        <v>1.56772297217769E-2</v>
      </c>
      <c r="I98">
        <f t="shared" ref="I98:I129" si="11">ABS(F98)</f>
        <v>2.4093700493756698</v>
      </c>
    </row>
    <row r="99" spans="1:9" x14ac:dyDescent="0.35">
      <c r="A99" t="s">
        <v>52</v>
      </c>
      <c r="B99" t="s">
        <v>56</v>
      </c>
      <c r="C99" t="s">
        <v>72</v>
      </c>
      <c r="D99">
        <v>-4.5623358847012999E-3</v>
      </c>
      <c r="E99">
        <v>-8.7856446762443995E-3</v>
      </c>
      <c r="F99">
        <v>2.4036171257084402</v>
      </c>
      <c r="G99">
        <f t="shared" si="9"/>
        <v>4.5623358847012999E-3</v>
      </c>
      <c r="H99">
        <f t="shared" si="10"/>
        <v>8.7856446762443995E-3</v>
      </c>
      <c r="I99">
        <f t="shared" si="11"/>
        <v>2.4036171257084402</v>
      </c>
    </row>
    <row r="100" spans="1:9" x14ac:dyDescent="0.35">
      <c r="A100" t="s">
        <v>48</v>
      </c>
      <c r="B100" t="s">
        <v>50</v>
      </c>
      <c r="C100" t="s">
        <v>71</v>
      </c>
      <c r="D100">
        <v>3.516894168799E-3</v>
      </c>
      <c r="E100">
        <v>6.0211023494186004E-3</v>
      </c>
      <c r="F100">
        <v>2.3940679005283299</v>
      </c>
      <c r="G100">
        <f t="shared" si="9"/>
        <v>3.516894168799E-3</v>
      </c>
      <c r="H100">
        <f t="shared" si="10"/>
        <v>6.0211023494186004E-3</v>
      </c>
      <c r="I100">
        <f t="shared" si="11"/>
        <v>2.3940679005283299</v>
      </c>
    </row>
    <row r="101" spans="1:9" x14ac:dyDescent="0.35">
      <c r="A101" t="s">
        <v>13</v>
      </c>
      <c r="B101" t="s">
        <v>18</v>
      </c>
      <c r="C101" t="s">
        <v>71</v>
      </c>
      <c r="D101">
        <v>-1.5042536165096E-2</v>
      </c>
      <c r="E101">
        <v>-2.7460333651265802E-2</v>
      </c>
      <c r="F101">
        <v>2.3819533149065601</v>
      </c>
      <c r="G101">
        <f t="shared" si="9"/>
        <v>1.5042536165096E-2</v>
      </c>
      <c r="H101">
        <f t="shared" si="10"/>
        <v>2.7460333651265802E-2</v>
      </c>
      <c r="I101">
        <f t="shared" si="11"/>
        <v>2.3819533149065601</v>
      </c>
    </row>
    <row r="102" spans="1:9" x14ac:dyDescent="0.35">
      <c r="A102" t="s">
        <v>5</v>
      </c>
      <c r="B102" t="s">
        <v>10</v>
      </c>
      <c r="C102" t="s">
        <v>71</v>
      </c>
      <c r="D102">
        <v>-1.80702684741471E-2</v>
      </c>
      <c r="E102">
        <v>-3.5172609934457498E-2</v>
      </c>
      <c r="F102">
        <v>-2.3806110003746701</v>
      </c>
      <c r="G102">
        <f t="shared" si="9"/>
        <v>1.80702684741471E-2</v>
      </c>
      <c r="H102">
        <f t="shared" si="10"/>
        <v>3.5172609934457498E-2</v>
      </c>
      <c r="I102">
        <f t="shared" si="11"/>
        <v>2.3806110003746701</v>
      </c>
    </row>
    <row r="103" spans="1:9" x14ac:dyDescent="0.35">
      <c r="A103" t="s">
        <v>25</v>
      </c>
      <c r="B103" t="s">
        <v>33</v>
      </c>
      <c r="C103" t="s">
        <v>71</v>
      </c>
      <c r="D103">
        <v>-1.4000470345484701E-2</v>
      </c>
      <c r="E103">
        <v>-2.9658930435972002E-2</v>
      </c>
      <c r="F103">
        <v>2.3709633361901199</v>
      </c>
      <c r="G103">
        <f t="shared" si="9"/>
        <v>1.4000470345484701E-2</v>
      </c>
      <c r="H103">
        <f t="shared" si="10"/>
        <v>2.9658930435972002E-2</v>
      </c>
      <c r="I103">
        <f t="shared" si="11"/>
        <v>2.3709633361901199</v>
      </c>
    </row>
    <row r="104" spans="1:9" x14ac:dyDescent="0.35">
      <c r="A104" t="s">
        <v>48</v>
      </c>
      <c r="B104" t="s">
        <v>61</v>
      </c>
      <c r="C104" t="s">
        <v>71</v>
      </c>
      <c r="D104">
        <v>2.2200099958393001E-3</v>
      </c>
      <c r="E104">
        <v>4.8787243103223001E-3</v>
      </c>
      <c r="F104">
        <v>2.3453196378088101</v>
      </c>
      <c r="G104">
        <f t="shared" si="9"/>
        <v>2.2200099958393001E-3</v>
      </c>
      <c r="H104">
        <f t="shared" si="10"/>
        <v>4.8787243103223001E-3</v>
      </c>
      <c r="I104">
        <f t="shared" si="11"/>
        <v>2.3453196378088101</v>
      </c>
    </row>
    <row r="105" spans="1:9" x14ac:dyDescent="0.35">
      <c r="A105" t="s">
        <v>25</v>
      </c>
      <c r="B105" t="s">
        <v>26</v>
      </c>
      <c r="C105" t="s">
        <v>71</v>
      </c>
      <c r="D105">
        <v>-1.56208126935972E-2</v>
      </c>
      <c r="E105">
        <v>-2.85828741682294E-2</v>
      </c>
      <c r="F105">
        <v>2.3392150940227499</v>
      </c>
      <c r="G105">
        <f t="shared" si="9"/>
        <v>1.56208126935972E-2</v>
      </c>
      <c r="H105">
        <f t="shared" si="10"/>
        <v>2.85828741682294E-2</v>
      </c>
      <c r="I105">
        <f t="shared" si="11"/>
        <v>2.3392150940227499</v>
      </c>
    </row>
    <row r="106" spans="1:9" x14ac:dyDescent="0.35">
      <c r="A106" t="s">
        <v>52</v>
      </c>
      <c r="B106" t="s">
        <v>55</v>
      </c>
      <c r="C106" t="s">
        <v>72</v>
      </c>
      <c r="D106">
        <v>-5.0583041875736003E-3</v>
      </c>
      <c r="E106">
        <v>-9.3696491912095003E-3</v>
      </c>
      <c r="F106">
        <v>2.3330626807664099</v>
      </c>
      <c r="G106">
        <f t="shared" si="9"/>
        <v>5.0583041875736003E-3</v>
      </c>
      <c r="H106">
        <f t="shared" si="10"/>
        <v>9.3696491912095003E-3</v>
      </c>
      <c r="I106">
        <f t="shared" si="11"/>
        <v>2.3330626807664099</v>
      </c>
    </row>
    <row r="107" spans="1:9" x14ac:dyDescent="0.35">
      <c r="A107" t="s">
        <v>52</v>
      </c>
      <c r="B107" t="s">
        <v>53</v>
      </c>
      <c r="C107" t="s">
        <v>71</v>
      </c>
      <c r="D107">
        <v>-4.773055536706E-3</v>
      </c>
      <c r="E107">
        <v>-8.6816941163069001E-3</v>
      </c>
      <c r="F107">
        <v>2.3144413845690299</v>
      </c>
      <c r="G107">
        <f t="shared" si="9"/>
        <v>4.773055536706E-3</v>
      </c>
      <c r="H107">
        <f t="shared" si="10"/>
        <v>8.6816941163069001E-3</v>
      </c>
      <c r="I107">
        <f t="shared" si="11"/>
        <v>2.3144413845690299</v>
      </c>
    </row>
    <row r="108" spans="1:9" x14ac:dyDescent="0.35">
      <c r="A108" t="s">
        <v>13</v>
      </c>
      <c r="B108" t="s">
        <v>27</v>
      </c>
      <c r="C108" t="s">
        <v>71</v>
      </c>
      <c r="D108">
        <v>-1.11497026310955E-2</v>
      </c>
      <c r="E108">
        <v>-2.45029792543754E-2</v>
      </c>
      <c r="F108">
        <v>2.2508491569714901</v>
      </c>
      <c r="G108">
        <f t="shared" si="9"/>
        <v>1.11497026310955E-2</v>
      </c>
      <c r="H108">
        <f t="shared" si="10"/>
        <v>2.45029792543754E-2</v>
      </c>
      <c r="I108">
        <f t="shared" si="11"/>
        <v>2.2508491569714901</v>
      </c>
    </row>
    <row r="109" spans="1:9" x14ac:dyDescent="0.35">
      <c r="A109" t="s">
        <v>52</v>
      </c>
      <c r="B109" t="s">
        <v>53</v>
      </c>
      <c r="C109" t="s">
        <v>7</v>
      </c>
      <c r="D109">
        <v>-3.5681307898447001E-3</v>
      </c>
      <c r="E109">
        <v>-6.3086622321525997E-3</v>
      </c>
      <c r="F109">
        <v>2.2338853910164298</v>
      </c>
      <c r="G109">
        <f t="shared" si="9"/>
        <v>3.5681307898447001E-3</v>
      </c>
      <c r="H109">
        <f t="shared" si="10"/>
        <v>6.3086622321525997E-3</v>
      </c>
      <c r="I109">
        <f t="shared" si="11"/>
        <v>2.2338853910164298</v>
      </c>
    </row>
    <row r="110" spans="1:9" x14ac:dyDescent="0.35">
      <c r="A110" t="s">
        <v>52</v>
      </c>
      <c r="B110" t="s">
        <v>56</v>
      </c>
      <c r="C110" t="s">
        <v>7</v>
      </c>
      <c r="D110">
        <v>-2.6548332300219001E-3</v>
      </c>
      <c r="E110">
        <v>-5.1927582031396002E-3</v>
      </c>
      <c r="F110">
        <v>2.2037434169672698</v>
      </c>
      <c r="G110">
        <f t="shared" si="9"/>
        <v>2.6548332300219001E-3</v>
      </c>
      <c r="H110">
        <f t="shared" si="10"/>
        <v>5.1927582031396002E-3</v>
      </c>
      <c r="I110">
        <f t="shared" si="11"/>
        <v>2.2037434169672698</v>
      </c>
    </row>
    <row r="111" spans="1:9" x14ac:dyDescent="0.35">
      <c r="A111" t="s">
        <v>25</v>
      </c>
      <c r="B111" t="s">
        <v>33</v>
      </c>
      <c r="C111" t="s">
        <v>7</v>
      </c>
      <c r="D111">
        <v>-1.05545683112494E-2</v>
      </c>
      <c r="E111">
        <v>-2.3579512102463299E-2</v>
      </c>
      <c r="F111">
        <v>2.20024697284282</v>
      </c>
      <c r="G111">
        <f t="shared" si="9"/>
        <v>1.05545683112494E-2</v>
      </c>
      <c r="H111">
        <f t="shared" si="10"/>
        <v>2.3579512102463299E-2</v>
      </c>
      <c r="I111">
        <f t="shared" si="11"/>
        <v>2.20024697284282</v>
      </c>
    </row>
    <row r="112" spans="1:9" x14ac:dyDescent="0.35">
      <c r="A112" t="s">
        <v>25</v>
      </c>
      <c r="B112" t="s">
        <v>26</v>
      </c>
      <c r="C112" t="s">
        <v>72</v>
      </c>
      <c r="D112">
        <v>-1.5225307249457001E-2</v>
      </c>
      <c r="E112">
        <v>-2.9525677011373399E-2</v>
      </c>
      <c r="F112">
        <v>2.1622990812719598</v>
      </c>
      <c r="G112">
        <f t="shared" si="9"/>
        <v>1.5225307249457001E-2</v>
      </c>
      <c r="H112">
        <f t="shared" si="10"/>
        <v>2.9525677011373399E-2</v>
      </c>
      <c r="I112">
        <f t="shared" si="11"/>
        <v>2.1622990812719598</v>
      </c>
    </row>
    <row r="113" spans="1:9" x14ac:dyDescent="0.35">
      <c r="A113" t="s">
        <v>36</v>
      </c>
      <c r="B113" t="s">
        <v>43</v>
      </c>
      <c r="C113" t="s">
        <v>7</v>
      </c>
      <c r="D113">
        <v>-5.6989156926984998E-3</v>
      </c>
      <c r="E113">
        <v>3.1277245743431001E-3</v>
      </c>
      <c r="F113">
        <v>2.15259857267348</v>
      </c>
      <c r="G113">
        <f t="shared" si="9"/>
        <v>5.6989156926984998E-3</v>
      </c>
      <c r="H113">
        <f t="shared" si="10"/>
        <v>3.1277245743431001E-3</v>
      </c>
      <c r="I113">
        <f t="shared" si="11"/>
        <v>2.15259857267348</v>
      </c>
    </row>
    <row r="114" spans="1:9" x14ac:dyDescent="0.35">
      <c r="A114" t="s">
        <v>62</v>
      </c>
      <c r="B114" t="s">
        <v>66</v>
      </c>
      <c r="C114" t="s">
        <v>72</v>
      </c>
      <c r="D114">
        <v>3.0133248442709001E-3</v>
      </c>
      <c r="E114">
        <v>-8.2882296097035995E-3</v>
      </c>
      <c r="F114">
        <v>2.1523666282281702</v>
      </c>
      <c r="G114">
        <f t="shared" si="9"/>
        <v>3.0133248442709001E-3</v>
      </c>
      <c r="H114">
        <f t="shared" si="10"/>
        <v>8.2882296097035995E-3</v>
      </c>
      <c r="I114">
        <f t="shared" si="11"/>
        <v>2.1523666282281702</v>
      </c>
    </row>
    <row r="115" spans="1:9" x14ac:dyDescent="0.35">
      <c r="A115" t="s">
        <v>48</v>
      </c>
      <c r="B115" t="s">
        <v>61</v>
      </c>
      <c r="C115" t="s">
        <v>7</v>
      </c>
      <c r="D115">
        <v>2.1136480057835998E-3</v>
      </c>
      <c r="E115">
        <v>5.4391489032959003E-3</v>
      </c>
      <c r="F115">
        <v>2.1519016765694698</v>
      </c>
      <c r="G115">
        <f t="shared" si="9"/>
        <v>2.1136480057835998E-3</v>
      </c>
      <c r="H115">
        <f t="shared" si="10"/>
        <v>5.4391489032959003E-3</v>
      </c>
      <c r="I115">
        <f t="shared" si="11"/>
        <v>2.1519016765694698</v>
      </c>
    </row>
    <row r="116" spans="1:9" x14ac:dyDescent="0.35">
      <c r="A116" t="s">
        <v>25</v>
      </c>
      <c r="B116" t="s">
        <v>33</v>
      </c>
      <c r="C116" t="s">
        <v>72</v>
      </c>
      <c r="D116">
        <v>-1.57650030251901E-2</v>
      </c>
      <c r="E116">
        <v>-3.33884371434389E-2</v>
      </c>
      <c r="F116">
        <v>2.14060708152308</v>
      </c>
      <c r="G116">
        <f t="shared" si="9"/>
        <v>1.57650030251901E-2</v>
      </c>
      <c r="H116">
        <f t="shared" si="10"/>
        <v>3.33884371434389E-2</v>
      </c>
      <c r="I116">
        <f t="shared" si="11"/>
        <v>2.14060708152308</v>
      </c>
    </row>
    <row r="117" spans="1:9" x14ac:dyDescent="0.35">
      <c r="A117" t="s">
        <v>36</v>
      </c>
      <c r="B117" t="s">
        <v>43</v>
      </c>
      <c r="C117" t="s">
        <v>71</v>
      </c>
      <c r="D117">
        <v>-8.2221749438139997E-3</v>
      </c>
      <c r="E117">
        <v>1.6242772504206E-3</v>
      </c>
      <c r="F117">
        <v>2.1336817970094799</v>
      </c>
      <c r="G117">
        <f t="shared" si="9"/>
        <v>8.2221749438139997E-3</v>
      </c>
      <c r="H117">
        <f t="shared" si="10"/>
        <v>1.6242772504206E-3</v>
      </c>
      <c r="I117">
        <f t="shared" si="11"/>
        <v>2.1336817970094799</v>
      </c>
    </row>
    <row r="118" spans="1:9" x14ac:dyDescent="0.35">
      <c r="A118" t="s">
        <v>13</v>
      </c>
      <c r="B118" t="s">
        <v>27</v>
      </c>
      <c r="C118" t="s">
        <v>72</v>
      </c>
      <c r="D118">
        <v>-9.7404740950882002E-3</v>
      </c>
      <c r="E118">
        <v>-2.2370141686917699E-2</v>
      </c>
      <c r="F118">
        <v>2.1216289660183301</v>
      </c>
      <c r="G118">
        <f t="shared" si="9"/>
        <v>9.7404740950882002E-3</v>
      </c>
      <c r="H118">
        <f t="shared" si="10"/>
        <v>2.2370141686917699E-2</v>
      </c>
      <c r="I118">
        <f t="shared" si="11"/>
        <v>2.1216289660183301</v>
      </c>
    </row>
    <row r="119" spans="1:9" x14ac:dyDescent="0.35">
      <c r="A119" t="s">
        <v>52</v>
      </c>
      <c r="B119" t="s">
        <v>54</v>
      </c>
      <c r="C119" t="s">
        <v>71</v>
      </c>
      <c r="D119">
        <v>-4.3503994019814998E-3</v>
      </c>
      <c r="E119">
        <v>-8.1625623071221991E-3</v>
      </c>
      <c r="F119">
        <v>2.1069833835854701</v>
      </c>
      <c r="G119">
        <f t="shared" si="9"/>
        <v>4.3503994019814998E-3</v>
      </c>
      <c r="H119">
        <f t="shared" si="10"/>
        <v>8.1625623071221991E-3</v>
      </c>
      <c r="I119">
        <f t="shared" si="11"/>
        <v>2.1069833835854701</v>
      </c>
    </row>
    <row r="120" spans="1:9" x14ac:dyDescent="0.35">
      <c r="A120" t="s">
        <v>41</v>
      </c>
      <c r="B120" t="s">
        <v>1</v>
      </c>
      <c r="C120" t="s">
        <v>72</v>
      </c>
      <c r="D120">
        <v>-1.0381680295481199E-2</v>
      </c>
      <c r="E120">
        <v>-1.33931156933195E-2</v>
      </c>
      <c r="F120">
        <v>1.9819007195199101</v>
      </c>
      <c r="G120">
        <f t="shared" si="9"/>
        <v>1.0381680295481199E-2</v>
      </c>
      <c r="H120">
        <f t="shared" si="10"/>
        <v>1.33931156933195E-2</v>
      </c>
      <c r="I120">
        <f t="shared" si="11"/>
        <v>1.9819007195199101</v>
      </c>
    </row>
    <row r="121" spans="1:9" x14ac:dyDescent="0.35">
      <c r="A121" t="s">
        <v>41</v>
      </c>
      <c r="B121" t="s">
        <v>44</v>
      </c>
      <c r="C121" t="s">
        <v>71</v>
      </c>
      <c r="D121">
        <v>-8.5278274451159996E-3</v>
      </c>
      <c r="E121">
        <v>-1.08296940185812E-2</v>
      </c>
      <c r="F121">
        <v>1.94549342635713</v>
      </c>
      <c r="G121">
        <f t="shared" si="9"/>
        <v>8.5278274451159996E-3</v>
      </c>
      <c r="H121">
        <f t="shared" si="10"/>
        <v>1.08296940185812E-2</v>
      </c>
      <c r="I121">
        <f t="shared" si="11"/>
        <v>1.94549342635713</v>
      </c>
    </row>
    <row r="122" spans="1:9" x14ac:dyDescent="0.35">
      <c r="A122" t="s">
        <v>36</v>
      </c>
      <c r="B122" t="s">
        <v>43</v>
      </c>
      <c r="C122" t="s">
        <v>72</v>
      </c>
      <c r="D122">
        <v>-9.9268651772253004E-3</v>
      </c>
      <c r="E122">
        <v>7.6825411107919999E-4</v>
      </c>
      <c r="F122">
        <v>1.88267183005948</v>
      </c>
      <c r="G122">
        <f t="shared" si="9"/>
        <v>9.9268651772253004E-3</v>
      </c>
      <c r="H122">
        <f t="shared" si="10"/>
        <v>7.6825411107919999E-4</v>
      </c>
      <c r="I122">
        <f t="shared" si="11"/>
        <v>1.88267183005948</v>
      </c>
    </row>
    <row r="123" spans="1:9" x14ac:dyDescent="0.35">
      <c r="A123" t="s">
        <v>52</v>
      </c>
      <c r="B123" t="s">
        <v>59</v>
      </c>
      <c r="C123" t="s">
        <v>7</v>
      </c>
      <c r="D123">
        <v>-2.3941011707577001E-3</v>
      </c>
      <c r="E123">
        <v>-4.7934994672215996E-3</v>
      </c>
      <c r="F123">
        <v>1.8793877932654099</v>
      </c>
      <c r="G123">
        <f t="shared" si="9"/>
        <v>2.3941011707577001E-3</v>
      </c>
      <c r="H123">
        <f t="shared" si="10"/>
        <v>4.7934994672215996E-3</v>
      </c>
      <c r="I123">
        <f t="shared" si="11"/>
        <v>1.8793877932654099</v>
      </c>
    </row>
    <row r="124" spans="1:9" x14ac:dyDescent="0.35">
      <c r="A124" t="s">
        <v>52</v>
      </c>
      <c r="B124" t="s">
        <v>59</v>
      </c>
      <c r="C124" t="s">
        <v>71</v>
      </c>
      <c r="D124">
        <v>-3.5782951031449999E-3</v>
      </c>
      <c r="E124">
        <v>-7.0104863932530003E-3</v>
      </c>
      <c r="F124">
        <v>1.8793403560389701</v>
      </c>
      <c r="G124">
        <f t="shared" si="9"/>
        <v>3.5782951031449999E-3</v>
      </c>
      <c r="H124">
        <f t="shared" si="10"/>
        <v>7.0104863932530003E-3</v>
      </c>
      <c r="I124">
        <f t="shared" si="11"/>
        <v>1.8793403560389701</v>
      </c>
    </row>
    <row r="125" spans="1:9" x14ac:dyDescent="0.35">
      <c r="A125" t="s">
        <v>41</v>
      </c>
      <c r="B125" t="s">
        <v>44</v>
      </c>
      <c r="C125" t="s">
        <v>7</v>
      </c>
      <c r="D125">
        <v>-5.6459748308584998E-3</v>
      </c>
      <c r="E125">
        <v>-6.8837993699688996E-3</v>
      </c>
      <c r="F125">
        <v>1.8441181064068899</v>
      </c>
      <c r="G125">
        <f t="shared" si="9"/>
        <v>5.6459748308584998E-3</v>
      </c>
      <c r="H125">
        <f t="shared" si="10"/>
        <v>6.8837993699688996E-3</v>
      </c>
      <c r="I125">
        <f t="shared" si="11"/>
        <v>1.8441181064068899</v>
      </c>
    </row>
    <row r="126" spans="1:9" x14ac:dyDescent="0.35">
      <c r="A126" t="s">
        <v>41</v>
      </c>
      <c r="B126" t="s">
        <v>47</v>
      </c>
      <c r="C126" t="s">
        <v>7</v>
      </c>
      <c r="D126">
        <v>-5.0256604101576001E-3</v>
      </c>
      <c r="E126">
        <v>-7.0099035208993996E-3</v>
      </c>
      <c r="F126">
        <v>1.8378186422829399</v>
      </c>
      <c r="G126">
        <f t="shared" si="9"/>
        <v>5.0256604101576001E-3</v>
      </c>
      <c r="H126">
        <f t="shared" si="10"/>
        <v>7.0099035208993996E-3</v>
      </c>
      <c r="I126">
        <f t="shared" si="11"/>
        <v>1.8378186422829399</v>
      </c>
    </row>
    <row r="127" spans="1:9" x14ac:dyDescent="0.35">
      <c r="A127" t="s">
        <v>52</v>
      </c>
      <c r="B127" t="s">
        <v>59</v>
      </c>
      <c r="C127" t="s">
        <v>72</v>
      </c>
      <c r="D127">
        <v>-4.3463494841814001E-3</v>
      </c>
      <c r="E127">
        <v>-8.2673465509048999E-3</v>
      </c>
      <c r="F127">
        <v>1.8051529691513799</v>
      </c>
      <c r="G127">
        <f t="shared" si="9"/>
        <v>4.3463494841814001E-3</v>
      </c>
      <c r="H127">
        <f t="shared" si="10"/>
        <v>8.2673465509048999E-3</v>
      </c>
      <c r="I127">
        <f t="shared" si="11"/>
        <v>1.8051529691513799</v>
      </c>
    </row>
    <row r="128" spans="1:9" x14ac:dyDescent="0.35">
      <c r="A128" t="s">
        <v>25</v>
      </c>
      <c r="B128" t="s">
        <v>31</v>
      </c>
      <c r="C128" t="s">
        <v>7</v>
      </c>
      <c r="D128">
        <v>-1.1723628883934399E-2</v>
      </c>
      <c r="E128">
        <v>-2.4423260229917101E-2</v>
      </c>
      <c r="F128">
        <v>1.80205843922424</v>
      </c>
      <c r="G128">
        <f t="shared" si="9"/>
        <v>1.1723628883934399E-2</v>
      </c>
      <c r="H128">
        <f t="shared" si="10"/>
        <v>2.4423260229917101E-2</v>
      </c>
      <c r="I128">
        <f t="shared" si="11"/>
        <v>1.80205843922424</v>
      </c>
    </row>
    <row r="129" spans="1:9" x14ac:dyDescent="0.35">
      <c r="A129" t="s">
        <v>25</v>
      </c>
      <c r="B129" t="s">
        <v>32</v>
      </c>
      <c r="C129" t="s">
        <v>7</v>
      </c>
      <c r="D129">
        <v>-1.10638587573981E-2</v>
      </c>
      <c r="E129">
        <v>-2.4070375087636701E-2</v>
      </c>
      <c r="F129">
        <v>1.7773479531624601</v>
      </c>
      <c r="G129">
        <f t="shared" si="9"/>
        <v>1.10638587573981E-2</v>
      </c>
      <c r="H129">
        <f t="shared" si="10"/>
        <v>2.4070375087636701E-2</v>
      </c>
      <c r="I129">
        <f t="shared" si="11"/>
        <v>1.7773479531624601</v>
      </c>
    </row>
    <row r="130" spans="1:9" x14ac:dyDescent="0.35">
      <c r="A130" t="s">
        <v>48</v>
      </c>
      <c r="B130" t="s">
        <v>50</v>
      </c>
      <c r="C130" t="s">
        <v>72</v>
      </c>
      <c r="D130">
        <v>2.1613406722551E-3</v>
      </c>
      <c r="E130">
        <v>4.7083335829220998E-3</v>
      </c>
      <c r="F130">
        <v>1.75174342654955</v>
      </c>
      <c r="G130">
        <f t="shared" ref="G130:G166" si="12">ABS(D130)</f>
        <v>2.1613406722551E-3</v>
      </c>
      <c r="H130">
        <f t="shared" ref="H130:H166" si="13">ABS(E130)</f>
        <v>4.7083335829220998E-3</v>
      </c>
      <c r="I130">
        <f t="shared" ref="I130:I166" si="14">ABS(F130)</f>
        <v>1.75174342654955</v>
      </c>
    </row>
    <row r="131" spans="1:9" x14ac:dyDescent="0.35">
      <c r="A131" t="s">
        <v>57</v>
      </c>
      <c r="B131" t="s">
        <v>65</v>
      </c>
      <c r="C131" t="s">
        <v>7</v>
      </c>
      <c r="D131">
        <v>-1.6319276372503001E-3</v>
      </c>
      <c r="E131">
        <v>1.3455753311537399E-2</v>
      </c>
      <c r="F131">
        <v>1.73355782013245</v>
      </c>
      <c r="G131">
        <f t="shared" si="12"/>
        <v>1.6319276372503001E-3</v>
      </c>
      <c r="H131">
        <f t="shared" si="13"/>
        <v>1.3455753311537399E-2</v>
      </c>
      <c r="I131">
        <f t="shared" si="14"/>
        <v>1.73355782013245</v>
      </c>
    </row>
    <row r="132" spans="1:9" x14ac:dyDescent="0.35">
      <c r="A132" t="s">
        <v>57</v>
      </c>
      <c r="B132" t="s">
        <v>65</v>
      </c>
      <c r="C132" t="s">
        <v>72</v>
      </c>
      <c r="D132">
        <v>-2.9295575511284E-3</v>
      </c>
      <c r="E132">
        <v>1.25609604345636E-2</v>
      </c>
      <c r="F132">
        <v>1.7234558898273</v>
      </c>
      <c r="G132">
        <f t="shared" si="12"/>
        <v>2.9295575511284E-3</v>
      </c>
      <c r="H132">
        <f t="shared" si="13"/>
        <v>1.25609604345636E-2</v>
      </c>
      <c r="I132">
        <f t="shared" si="14"/>
        <v>1.7234558898273</v>
      </c>
    </row>
    <row r="133" spans="1:9" x14ac:dyDescent="0.35">
      <c r="A133" t="s">
        <v>52</v>
      </c>
      <c r="B133" t="s">
        <v>54</v>
      </c>
      <c r="C133" t="s">
        <v>7</v>
      </c>
      <c r="D133">
        <v>-3.2234292612793002E-3</v>
      </c>
      <c r="E133">
        <v>-5.7660460898566E-3</v>
      </c>
      <c r="F133">
        <v>1.7210347559886201</v>
      </c>
      <c r="G133">
        <f t="shared" si="12"/>
        <v>3.2234292612793002E-3</v>
      </c>
      <c r="H133">
        <f t="shared" si="13"/>
        <v>5.7660460898566E-3</v>
      </c>
      <c r="I133">
        <f t="shared" si="14"/>
        <v>1.7210347559886201</v>
      </c>
    </row>
    <row r="134" spans="1:9" x14ac:dyDescent="0.35">
      <c r="A134" t="s">
        <v>41</v>
      </c>
      <c r="B134" t="s">
        <v>47</v>
      </c>
      <c r="C134" t="s">
        <v>71</v>
      </c>
      <c r="D134">
        <v>-7.5203022787562E-3</v>
      </c>
      <c r="E134">
        <v>-1.04993031244239E-2</v>
      </c>
      <c r="F134">
        <v>1.7046974530525001</v>
      </c>
      <c r="G134">
        <f t="shared" si="12"/>
        <v>7.5203022787562E-3</v>
      </c>
      <c r="H134">
        <f t="shared" si="13"/>
        <v>1.04993031244239E-2</v>
      </c>
      <c r="I134">
        <f t="shared" si="14"/>
        <v>1.7046974530525001</v>
      </c>
    </row>
    <row r="135" spans="1:9" x14ac:dyDescent="0.35">
      <c r="A135" t="s">
        <v>41</v>
      </c>
      <c r="B135" t="s">
        <v>47</v>
      </c>
      <c r="C135" t="s">
        <v>72</v>
      </c>
      <c r="D135">
        <v>-9.2748708013747003E-3</v>
      </c>
      <c r="E135">
        <v>-1.2831919253481599E-2</v>
      </c>
      <c r="F135">
        <v>1.67422485957583</v>
      </c>
      <c r="G135">
        <f t="shared" si="12"/>
        <v>9.2748708013747003E-3</v>
      </c>
      <c r="H135">
        <f t="shared" si="13"/>
        <v>1.2831919253481599E-2</v>
      </c>
      <c r="I135">
        <f t="shared" si="14"/>
        <v>1.67422485957583</v>
      </c>
    </row>
    <row r="136" spans="1:9" x14ac:dyDescent="0.35">
      <c r="A136" t="s">
        <v>25</v>
      </c>
      <c r="B136" t="s">
        <v>31</v>
      </c>
      <c r="C136" t="s">
        <v>71</v>
      </c>
      <c r="D136">
        <v>-1.3833982833341399E-2</v>
      </c>
      <c r="E136">
        <v>-2.96065999948187E-2</v>
      </c>
      <c r="F136">
        <v>1.6457176009786101</v>
      </c>
      <c r="G136">
        <f t="shared" si="12"/>
        <v>1.3833982833341399E-2</v>
      </c>
      <c r="H136">
        <f t="shared" si="13"/>
        <v>2.96065999948187E-2</v>
      </c>
      <c r="I136">
        <f t="shared" si="14"/>
        <v>1.6457176009786101</v>
      </c>
    </row>
    <row r="137" spans="1:9" x14ac:dyDescent="0.35">
      <c r="A137" t="s">
        <v>57</v>
      </c>
      <c r="B137" t="s">
        <v>65</v>
      </c>
      <c r="C137" t="s">
        <v>71</v>
      </c>
      <c r="D137">
        <v>-2.3861633133764998E-3</v>
      </c>
      <c r="E137">
        <v>1.28174476755126E-2</v>
      </c>
      <c r="F137">
        <v>1.55862870049327</v>
      </c>
      <c r="G137">
        <f t="shared" si="12"/>
        <v>2.3861633133764998E-3</v>
      </c>
      <c r="H137">
        <f t="shared" si="13"/>
        <v>1.28174476755126E-2</v>
      </c>
      <c r="I137">
        <f t="shared" si="14"/>
        <v>1.55862870049327</v>
      </c>
    </row>
    <row r="138" spans="1:9" x14ac:dyDescent="0.35">
      <c r="A138" t="s">
        <v>25</v>
      </c>
      <c r="B138" t="s">
        <v>31</v>
      </c>
      <c r="C138" t="s">
        <v>72</v>
      </c>
      <c r="D138">
        <v>-1.4070182060373099E-2</v>
      </c>
      <c r="E138">
        <v>-3.1897421725597203E-2</v>
      </c>
      <c r="F138">
        <v>1.54509690201039</v>
      </c>
      <c r="G138">
        <f t="shared" si="12"/>
        <v>1.4070182060373099E-2</v>
      </c>
      <c r="H138">
        <f t="shared" si="13"/>
        <v>3.1897421725597203E-2</v>
      </c>
      <c r="I138">
        <f t="shared" si="14"/>
        <v>1.54509690201039</v>
      </c>
    </row>
    <row r="139" spans="1:9" x14ac:dyDescent="0.35">
      <c r="A139" t="s">
        <v>25</v>
      </c>
      <c r="B139" t="s">
        <v>32</v>
      </c>
      <c r="C139" t="s">
        <v>71</v>
      </c>
      <c r="D139">
        <v>-1.3475418420051E-2</v>
      </c>
      <c r="E139">
        <v>-2.9716800701523102E-2</v>
      </c>
      <c r="F139">
        <v>1.48516080051377</v>
      </c>
      <c r="G139">
        <f t="shared" si="12"/>
        <v>1.3475418420051E-2</v>
      </c>
      <c r="H139">
        <f t="shared" si="13"/>
        <v>2.9716800701523102E-2</v>
      </c>
      <c r="I139">
        <f t="shared" si="14"/>
        <v>1.48516080051377</v>
      </c>
    </row>
    <row r="140" spans="1:9" x14ac:dyDescent="0.35">
      <c r="A140" t="s">
        <v>25</v>
      </c>
      <c r="B140" t="s">
        <v>32</v>
      </c>
      <c r="C140" t="s">
        <v>72</v>
      </c>
      <c r="D140">
        <v>-1.41911455401607E-2</v>
      </c>
      <c r="E140">
        <v>-3.2575651147700897E-2</v>
      </c>
      <c r="F140">
        <v>1.4158141024150299</v>
      </c>
      <c r="G140">
        <f t="shared" si="12"/>
        <v>1.41911455401607E-2</v>
      </c>
      <c r="H140">
        <f t="shared" si="13"/>
        <v>3.2575651147700897E-2</v>
      </c>
      <c r="I140">
        <f t="shared" si="14"/>
        <v>1.4158141024150299</v>
      </c>
    </row>
    <row r="141" spans="1:9" x14ac:dyDescent="0.35">
      <c r="A141" t="s">
        <v>48</v>
      </c>
      <c r="B141" t="s">
        <v>49</v>
      </c>
      <c r="C141" t="s">
        <v>7</v>
      </c>
      <c r="D141">
        <v>4.3538710757526E-3</v>
      </c>
      <c r="E141">
        <v>1.05303069091402E-2</v>
      </c>
      <c r="F141">
        <v>1.3632216240953601</v>
      </c>
      <c r="G141">
        <f t="shared" si="12"/>
        <v>4.3538710757526E-3</v>
      </c>
      <c r="H141">
        <f t="shared" si="13"/>
        <v>1.05303069091402E-2</v>
      </c>
      <c r="I141">
        <f t="shared" si="14"/>
        <v>1.3632216240953601</v>
      </c>
    </row>
    <row r="142" spans="1:9" x14ac:dyDescent="0.35">
      <c r="A142" t="s">
        <v>48</v>
      </c>
      <c r="B142" t="s">
        <v>60</v>
      </c>
      <c r="C142" t="s">
        <v>7</v>
      </c>
      <c r="D142">
        <v>2.2929632570787999E-3</v>
      </c>
      <c r="E142">
        <v>8.3138121103424993E-3</v>
      </c>
      <c r="F142">
        <v>1.3019876086340401</v>
      </c>
      <c r="G142">
        <f t="shared" si="12"/>
        <v>2.2929632570787999E-3</v>
      </c>
      <c r="H142">
        <f t="shared" si="13"/>
        <v>8.3138121103424993E-3</v>
      </c>
      <c r="I142">
        <f t="shared" si="14"/>
        <v>1.3019876086340401</v>
      </c>
    </row>
    <row r="143" spans="1:9" x14ac:dyDescent="0.35">
      <c r="A143" t="s">
        <v>25</v>
      </c>
      <c r="B143" t="s">
        <v>35</v>
      </c>
      <c r="C143" t="s">
        <v>7</v>
      </c>
      <c r="D143">
        <v>-1.04891457440637E-2</v>
      </c>
      <c r="E143">
        <v>-2.41426947290177E-2</v>
      </c>
      <c r="F143">
        <v>1.2758673842446999</v>
      </c>
      <c r="G143">
        <f t="shared" si="12"/>
        <v>1.04891457440637E-2</v>
      </c>
      <c r="H143">
        <f t="shared" si="13"/>
        <v>2.41426947290177E-2</v>
      </c>
      <c r="I143">
        <f t="shared" si="14"/>
        <v>1.2758673842446999</v>
      </c>
    </row>
    <row r="144" spans="1:9" x14ac:dyDescent="0.35">
      <c r="A144" t="s">
        <v>25</v>
      </c>
      <c r="B144" t="s">
        <v>35</v>
      </c>
      <c r="C144" t="s">
        <v>71</v>
      </c>
      <c r="D144">
        <v>-1.3467782446426799E-2</v>
      </c>
      <c r="E144">
        <v>-3.0094268881221999E-2</v>
      </c>
      <c r="F144">
        <v>1.2035766154649501</v>
      </c>
      <c r="G144">
        <f t="shared" si="12"/>
        <v>1.3467782446426799E-2</v>
      </c>
      <c r="H144">
        <f t="shared" si="13"/>
        <v>3.0094268881221999E-2</v>
      </c>
      <c r="I144">
        <f t="shared" si="14"/>
        <v>1.2035766154649501</v>
      </c>
    </row>
    <row r="145" spans="1:9" x14ac:dyDescent="0.35">
      <c r="A145" t="s">
        <v>25</v>
      </c>
      <c r="B145" t="s">
        <v>35</v>
      </c>
      <c r="C145" t="s">
        <v>72</v>
      </c>
      <c r="D145">
        <v>-1.46504540017805E-2</v>
      </c>
      <c r="E145">
        <v>-3.2836177543396503E-2</v>
      </c>
      <c r="F145">
        <v>1.1863503118636101</v>
      </c>
      <c r="G145">
        <f t="shared" si="12"/>
        <v>1.46504540017805E-2</v>
      </c>
      <c r="H145">
        <f t="shared" si="13"/>
        <v>3.2836177543396503E-2</v>
      </c>
      <c r="I145">
        <f t="shared" si="14"/>
        <v>1.1863503118636101</v>
      </c>
    </row>
    <row r="146" spans="1:9" x14ac:dyDescent="0.35">
      <c r="A146" t="s">
        <v>48</v>
      </c>
      <c r="B146" t="s">
        <v>51</v>
      </c>
      <c r="C146" t="s">
        <v>7</v>
      </c>
      <c r="D146">
        <v>3.6091985536238001E-3</v>
      </c>
      <c r="E146">
        <v>9.2486275621714003E-3</v>
      </c>
      <c r="F146">
        <v>1.17761518909472</v>
      </c>
      <c r="G146">
        <f t="shared" si="12"/>
        <v>3.6091985536238001E-3</v>
      </c>
      <c r="H146">
        <f t="shared" si="13"/>
        <v>9.2486275621714003E-3</v>
      </c>
      <c r="I146">
        <f t="shared" si="14"/>
        <v>1.17761518909472</v>
      </c>
    </row>
    <row r="147" spans="1:9" x14ac:dyDescent="0.35">
      <c r="A147" t="s">
        <v>48</v>
      </c>
      <c r="B147" t="s">
        <v>49</v>
      </c>
      <c r="C147" t="s">
        <v>71</v>
      </c>
      <c r="D147">
        <v>2.5806312064069999E-3</v>
      </c>
      <c r="E147">
        <v>7.3537323249112004E-3</v>
      </c>
      <c r="F147">
        <v>1.02043603580936</v>
      </c>
      <c r="G147">
        <f t="shared" si="12"/>
        <v>2.5806312064069999E-3</v>
      </c>
      <c r="H147">
        <f t="shared" si="13"/>
        <v>7.3537323249112004E-3</v>
      </c>
      <c r="I147">
        <f t="shared" si="14"/>
        <v>1.02043603580936</v>
      </c>
    </row>
    <row r="148" spans="1:9" x14ac:dyDescent="0.35">
      <c r="A148" t="s">
        <v>48</v>
      </c>
      <c r="B148" t="s">
        <v>49</v>
      </c>
      <c r="C148" t="s">
        <v>72</v>
      </c>
      <c r="D148">
        <v>2.2819433650226001E-3</v>
      </c>
      <c r="E148">
        <v>5.9615810931039999E-3</v>
      </c>
      <c r="F148">
        <v>0.96712906955115097</v>
      </c>
      <c r="G148">
        <f t="shared" si="12"/>
        <v>2.2819433650226001E-3</v>
      </c>
      <c r="H148">
        <f t="shared" si="13"/>
        <v>5.9615810931039999E-3</v>
      </c>
      <c r="I148">
        <f t="shared" si="14"/>
        <v>0.96712906955115097</v>
      </c>
    </row>
    <row r="149" spans="1:9" x14ac:dyDescent="0.35">
      <c r="A149" t="s">
        <v>48</v>
      </c>
      <c r="B149" t="s">
        <v>51</v>
      </c>
      <c r="C149" t="s">
        <v>72</v>
      </c>
      <c r="D149">
        <v>2.2141225880852999E-3</v>
      </c>
      <c r="E149">
        <v>7.3233508252752997E-3</v>
      </c>
      <c r="F149">
        <v>0.93064697832911303</v>
      </c>
      <c r="G149">
        <f t="shared" si="12"/>
        <v>2.2141225880852999E-3</v>
      </c>
      <c r="H149">
        <f t="shared" si="13"/>
        <v>7.3233508252752997E-3</v>
      </c>
      <c r="I149">
        <f t="shared" si="14"/>
        <v>0.93064697832911303</v>
      </c>
    </row>
    <row r="150" spans="1:9" x14ac:dyDescent="0.35">
      <c r="A150" t="s">
        <v>48</v>
      </c>
      <c r="B150" t="s">
        <v>60</v>
      </c>
      <c r="C150" t="s">
        <v>71</v>
      </c>
      <c r="D150">
        <v>6.6271688354050003E-4</v>
      </c>
      <c r="E150">
        <v>6.8247798028255001E-3</v>
      </c>
      <c r="F150">
        <v>0.89033537041862099</v>
      </c>
      <c r="G150">
        <f t="shared" si="12"/>
        <v>6.6271688354050003E-4</v>
      </c>
      <c r="H150">
        <f t="shared" si="13"/>
        <v>6.8247798028255001E-3</v>
      </c>
      <c r="I150">
        <f t="shared" si="14"/>
        <v>0.89033537041862099</v>
      </c>
    </row>
    <row r="151" spans="1:9" x14ac:dyDescent="0.35">
      <c r="A151" t="s">
        <v>48</v>
      </c>
      <c r="B151" t="s">
        <v>61</v>
      </c>
      <c r="C151" t="s">
        <v>72</v>
      </c>
      <c r="D151">
        <v>1.7432408903233999E-3</v>
      </c>
      <c r="E151">
        <v>3.3469244488768999E-3</v>
      </c>
      <c r="F151">
        <v>-0.88480776155734997</v>
      </c>
      <c r="G151">
        <f t="shared" si="12"/>
        <v>1.7432408903233999E-3</v>
      </c>
      <c r="H151">
        <f t="shared" si="13"/>
        <v>3.3469244488768999E-3</v>
      </c>
      <c r="I151">
        <f t="shared" si="14"/>
        <v>0.88480776155734997</v>
      </c>
    </row>
    <row r="152" spans="1:9" x14ac:dyDescent="0.35">
      <c r="A152" t="s">
        <v>48</v>
      </c>
      <c r="B152" t="s">
        <v>51</v>
      </c>
      <c r="C152" t="s">
        <v>71</v>
      </c>
      <c r="D152">
        <v>2.7563831948026998E-3</v>
      </c>
      <c r="E152">
        <v>8.2730788314412003E-3</v>
      </c>
      <c r="F152">
        <v>0.87854386669097095</v>
      </c>
      <c r="G152">
        <f t="shared" si="12"/>
        <v>2.7563831948026998E-3</v>
      </c>
      <c r="H152">
        <f t="shared" si="13"/>
        <v>8.2730788314412003E-3</v>
      </c>
      <c r="I152">
        <f t="shared" si="14"/>
        <v>0.87854386669097095</v>
      </c>
    </row>
    <row r="153" spans="1:9" x14ac:dyDescent="0.35">
      <c r="A153" t="s">
        <v>48</v>
      </c>
      <c r="B153" t="s">
        <v>60</v>
      </c>
      <c r="C153" t="s">
        <v>72</v>
      </c>
      <c r="D153">
        <v>1.6833167727720001E-4</v>
      </c>
      <c r="E153">
        <v>5.8127387577077997E-3</v>
      </c>
      <c r="F153">
        <v>0.82780247785733496</v>
      </c>
      <c r="G153">
        <f t="shared" si="12"/>
        <v>1.6833167727720001E-4</v>
      </c>
      <c r="H153">
        <f t="shared" si="13"/>
        <v>5.8127387577077997E-3</v>
      </c>
      <c r="I153">
        <f t="shared" si="14"/>
        <v>0.82780247785733496</v>
      </c>
    </row>
    <row r="154" spans="1:9" x14ac:dyDescent="0.35">
      <c r="A154" t="s">
        <v>48</v>
      </c>
      <c r="B154" t="s">
        <v>67</v>
      </c>
      <c r="C154" t="s">
        <v>7</v>
      </c>
      <c r="D154">
        <v>1.4849283009662E-3</v>
      </c>
      <c r="E154">
        <v>7.7893857742046E-3</v>
      </c>
      <c r="F154">
        <v>0.82711494529787299</v>
      </c>
      <c r="G154">
        <f t="shared" si="12"/>
        <v>1.4849283009662E-3</v>
      </c>
      <c r="H154">
        <f t="shared" si="13"/>
        <v>7.7893857742046E-3</v>
      </c>
      <c r="I154">
        <f t="shared" si="14"/>
        <v>0.82711494529787299</v>
      </c>
    </row>
    <row r="155" spans="1:9" x14ac:dyDescent="0.35">
      <c r="A155" t="s">
        <v>48</v>
      </c>
      <c r="B155" t="s">
        <v>68</v>
      </c>
      <c r="C155" t="s">
        <v>72</v>
      </c>
      <c r="D155">
        <v>9.7515134691719999E-4</v>
      </c>
      <c r="E155">
        <v>1.4469596568144E-3</v>
      </c>
      <c r="F155">
        <v>0.75580949458953595</v>
      </c>
      <c r="G155">
        <f t="shared" si="12"/>
        <v>9.7515134691719999E-4</v>
      </c>
      <c r="H155">
        <f t="shared" si="13"/>
        <v>1.4469596568144E-3</v>
      </c>
      <c r="I155">
        <f t="shared" si="14"/>
        <v>0.75580949458953595</v>
      </c>
    </row>
    <row r="156" spans="1:9" x14ac:dyDescent="0.35">
      <c r="A156" t="s">
        <v>48</v>
      </c>
      <c r="B156" t="s">
        <v>67</v>
      </c>
      <c r="C156" t="s">
        <v>72</v>
      </c>
      <c r="D156">
        <v>1.2689920883154E-3</v>
      </c>
      <c r="E156">
        <v>7.1286021935476999E-3</v>
      </c>
      <c r="F156">
        <v>0.74349036091500698</v>
      </c>
      <c r="G156">
        <f t="shared" si="12"/>
        <v>1.2689920883154E-3</v>
      </c>
      <c r="H156">
        <f t="shared" si="13"/>
        <v>7.1286021935476999E-3</v>
      </c>
      <c r="I156">
        <f t="shared" si="14"/>
        <v>0.74349036091500698</v>
      </c>
    </row>
    <row r="157" spans="1:9" x14ac:dyDescent="0.35">
      <c r="A157" t="s">
        <v>48</v>
      </c>
      <c r="B157" t="s">
        <v>68</v>
      </c>
      <c r="C157" t="s">
        <v>71</v>
      </c>
      <c r="D157">
        <v>1.4922196181037001E-3</v>
      </c>
      <c r="E157">
        <v>3.3176061061521E-3</v>
      </c>
      <c r="F157">
        <v>0.69510671370572297</v>
      </c>
      <c r="G157">
        <f t="shared" si="12"/>
        <v>1.4922196181037001E-3</v>
      </c>
      <c r="H157">
        <f t="shared" si="13"/>
        <v>3.3176061061521E-3</v>
      </c>
      <c r="I157">
        <f t="shared" si="14"/>
        <v>0.69510671370572297</v>
      </c>
    </row>
    <row r="158" spans="1:9" x14ac:dyDescent="0.35">
      <c r="A158" t="s">
        <v>48</v>
      </c>
      <c r="B158" t="s">
        <v>68</v>
      </c>
      <c r="C158" t="s">
        <v>7</v>
      </c>
      <c r="D158">
        <v>1.3189631008297001E-3</v>
      </c>
      <c r="E158">
        <v>3.7268110276677999E-3</v>
      </c>
      <c r="F158">
        <v>0.64071749223610297</v>
      </c>
      <c r="G158">
        <f t="shared" si="12"/>
        <v>1.3189631008297001E-3</v>
      </c>
      <c r="H158">
        <f t="shared" si="13"/>
        <v>3.7268110276677999E-3</v>
      </c>
      <c r="I158">
        <f t="shared" si="14"/>
        <v>0.64071749223610297</v>
      </c>
    </row>
    <row r="159" spans="1:9" x14ac:dyDescent="0.35">
      <c r="A159" t="s">
        <v>48</v>
      </c>
      <c r="B159" t="s">
        <v>67</v>
      </c>
      <c r="C159" t="s">
        <v>71</v>
      </c>
      <c r="D159">
        <v>1.2199076235273E-3</v>
      </c>
      <c r="E159">
        <v>7.7855841878288999E-3</v>
      </c>
      <c r="F159">
        <v>0.64019113535484096</v>
      </c>
      <c r="G159">
        <f t="shared" si="12"/>
        <v>1.2199076235273E-3</v>
      </c>
      <c r="H159">
        <f t="shared" si="13"/>
        <v>7.7855841878288999E-3</v>
      </c>
      <c r="I159">
        <f t="shared" si="14"/>
        <v>0.64019113535484096</v>
      </c>
    </row>
    <row r="160" spans="1:9" x14ac:dyDescent="0.35">
      <c r="A160" t="s">
        <v>5</v>
      </c>
      <c r="B160" t="s">
        <v>23</v>
      </c>
      <c r="C160" t="s">
        <v>72</v>
      </c>
      <c r="D160">
        <v>-1.2330934407871801E-2</v>
      </c>
      <c r="E160">
        <v>-2.6382996491259698E-2</v>
      </c>
      <c r="F160">
        <v>0.60993443498055</v>
      </c>
      <c r="G160">
        <f t="shared" si="12"/>
        <v>1.2330934407871801E-2</v>
      </c>
      <c r="H160">
        <f t="shared" si="13"/>
        <v>2.6382996491259698E-2</v>
      </c>
      <c r="I160">
        <f t="shared" si="14"/>
        <v>0.60993443498055</v>
      </c>
    </row>
    <row r="161" spans="1:9" x14ac:dyDescent="0.35">
      <c r="A161" t="s">
        <v>5</v>
      </c>
      <c r="B161" t="s">
        <v>24</v>
      </c>
      <c r="C161" t="s">
        <v>71</v>
      </c>
      <c r="D161">
        <v>-1.47417811008109E-2</v>
      </c>
      <c r="E161">
        <v>-2.6750533629451598E-2</v>
      </c>
      <c r="F161">
        <v>-0.59549475042275302</v>
      </c>
      <c r="G161">
        <f t="shared" si="12"/>
        <v>1.47417811008109E-2</v>
      </c>
      <c r="H161">
        <f t="shared" si="13"/>
        <v>2.6750533629451598E-2</v>
      </c>
      <c r="I161">
        <f t="shared" si="14"/>
        <v>0.59549475042275302</v>
      </c>
    </row>
    <row r="162" spans="1:9" x14ac:dyDescent="0.35">
      <c r="A162" t="s">
        <v>5</v>
      </c>
      <c r="B162" t="s">
        <v>10</v>
      </c>
      <c r="C162" t="s">
        <v>72</v>
      </c>
      <c r="D162">
        <v>-1.5517069287309899E-2</v>
      </c>
      <c r="E162">
        <v>-3.1971925540471798E-2</v>
      </c>
      <c r="F162">
        <v>-0.47125578900453002</v>
      </c>
      <c r="G162">
        <f t="shared" si="12"/>
        <v>1.5517069287309899E-2</v>
      </c>
      <c r="H162">
        <f t="shared" si="13"/>
        <v>3.1971925540471798E-2</v>
      </c>
      <c r="I162">
        <f t="shared" si="14"/>
        <v>0.47125578900453002</v>
      </c>
    </row>
    <row r="163" spans="1:9" x14ac:dyDescent="0.35">
      <c r="A163" t="s">
        <v>5</v>
      </c>
      <c r="B163" t="s">
        <v>17</v>
      </c>
      <c r="C163" t="s">
        <v>71</v>
      </c>
      <c r="D163">
        <v>-1.6391151263127901E-2</v>
      </c>
      <c r="E163">
        <v>-3.1462278695324003E-2</v>
      </c>
      <c r="F163">
        <v>-0.42033428119511002</v>
      </c>
      <c r="G163">
        <f t="shared" si="12"/>
        <v>1.6391151263127901E-2</v>
      </c>
      <c r="H163">
        <f t="shared" si="13"/>
        <v>3.1462278695324003E-2</v>
      </c>
      <c r="I163">
        <f t="shared" si="14"/>
        <v>0.42033428119511002</v>
      </c>
    </row>
    <row r="164" spans="1:9" x14ac:dyDescent="0.35">
      <c r="A164" t="s">
        <v>5</v>
      </c>
      <c r="B164" t="s">
        <v>17</v>
      </c>
      <c r="C164" t="s">
        <v>72</v>
      </c>
      <c r="D164">
        <v>-1.38593633224847E-2</v>
      </c>
      <c r="E164">
        <v>-2.8522103912702899E-2</v>
      </c>
      <c r="F164">
        <v>0.38828632704896998</v>
      </c>
      <c r="G164">
        <f t="shared" si="12"/>
        <v>1.38593633224847E-2</v>
      </c>
      <c r="H164">
        <f t="shared" si="13"/>
        <v>2.8522103912702899E-2</v>
      </c>
      <c r="I164">
        <f t="shared" si="14"/>
        <v>0.38828632704896998</v>
      </c>
    </row>
    <row r="165" spans="1:9" x14ac:dyDescent="0.35">
      <c r="A165" t="s">
        <v>5</v>
      </c>
      <c r="B165" t="s">
        <v>23</v>
      </c>
      <c r="C165" t="s">
        <v>71</v>
      </c>
      <c r="D165">
        <v>-1.3982511300691501E-2</v>
      </c>
      <c r="E165">
        <v>-2.78846103483971E-2</v>
      </c>
      <c r="F165">
        <v>0.21961357017574201</v>
      </c>
      <c r="G165">
        <f t="shared" si="12"/>
        <v>1.3982511300691501E-2</v>
      </c>
      <c r="H165">
        <f t="shared" si="13"/>
        <v>2.78846103483971E-2</v>
      </c>
      <c r="I165">
        <f t="shared" si="14"/>
        <v>0.21961357017574201</v>
      </c>
    </row>
    <row r="166" spans="1:9" x14ac:dyDescent="0.35">
      <c r="A166" t="s">
        <v>5</v>
      </c>
      <c r="B166" t="s">
        <v>24</v>
      </c>
      <c r="C166" t="s">
        <v>72</v>
      </c>
      <c r="D166">
        <v>-1.3709372385810501E-2</v>
      </c>
      <c r="E166">
        <v>-2.65276584329192E-2</v>
      </c>
      <c r="F166">
        <v>0.104784186183385</v>
      </c>
      <c r="G166">
        <f t="shared" si="12"/>
        <v>1.3709372385810501E-2</v>
      </c>
      <c r="H166">
        <f t="shared" si="13"/>
        <v>2.65276584329192E-2</v>
      </c>
      <c r="I166">
        <f t="shared" si="14"/>
        <v>0.104784186183385</v>
      </c>
    </row>
  </sheetData>
  <sortState xmlns:xlrd2="http://schemas.microsoft.com/office/spreadsheetml/2017/richdata2" ref="A2:I170">
    <sortCondition descending="1" ref="I1:I170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678C-356A-4708-8030-9A2C721A4C8B}">
  <dimension ref="A1:G128"/>
  <sheetViews>
    <sheetView tabSelected="1" workbookViewId="0">
      <selection activeCell="I6" sqref="I6"/>
    </sheetView>
  </sheetViews>
  <sheetFormatPr defaultRowHeight="14.15" x14ac:dyDescent="0.35"/>
  <cols>
    <col min="1" max="4" width="18.42578125" bestFit="1" customWidth="1"/>
    <col min="5" max="5" width="18.42578125" customWidth="1"/>
    <col min="6" max="7" width="18.42578125" bestFit="1" customWidth="1"/>
  </cols>
  <sheetData>
    <row r="1" spans="1:7" x14ac:dyDescent="0.35">
      <c r="A1" t="s">
        <v>78</v>
      </c>
      <c r="B1" t="s">
        <v>76</v>
      </c>
      <c r="C1" t="s">
        <v>77</v>
      </c>
      <c r="D1" t="s">
        <v>79</v>
      </c>
      <c r="F1" t="s">
        <v>80</v>
      </c>
      <c r="G1" t="s">
        <v>79</v>
      </c>
    </row>
    <row r="2" spans="1:7" x14ac:dyDescent="0.35">
      <c r="A2" t="s">
        <v>10</v>
      </c>
      <c r="B2" t="s">
        <v>6</v>
      </c>
      <c r="C2" t="s">
        <v>6</v>
      </c>
      <c r="D2" t="str" cm="1">
        <f t="array" ref="D2:D68">_xlfn._xlws.FILTER(A2:A128, (ISNUMBER(MATCH(A2:A128, B2:B187, 0))) * (ISNUMBER(MATCH(A2:A128, C2:C91, 0))), "无交集")</f>
        <v>mom_30m</v>
      </c>
      <c r="F2" t="s">
        <v>56</v>
      </c>
      <c r="G2" t="s">
        <v>46</v>
      </c>
    </row>
    <row r="3" spans="1:7" x14ac:dyDescent="0.35">
      <c r="A3" t="s">
        <v>9</v>
      </c>
      <c r="B3" t="s">
        <v>8</v>
      </c>
      <c r="C3" t="s">
        <v>8</v>
      </c>
      <c r="D3" t="str">
        <v>mom_20m</v>
      </c>
      <c r="F3" t="s">
        <v>55</v>
      </c>
      <c r="G3" t="s">
        <v>24</v>
      </c>
    </row>
    <row r="4" spans="1:7" x14ac:dyDescent="0.35">
      <c r="A4" t="s">
        <v>9</v>
      </c>
      <c r="B4" t="s">
        <v>6</v>
      </c>
      <c r="C4" t="s">
        <v>6</v>
      </c>
      <c r="D4" t="str">
        <v>mom_20m</v>
      </c>
      <c r="F4" t="s">
        <v>54</v>
      </c>
      <c r="G4" t="s">
        <v>23</v>
      </c>
    </row>
    <row r="5" spans="1:7" x14ac:dyDescent="0.35">
      <c r="A5" t="s">
        <v>8</v>
      </c>
      <c r="B5" t="s">
        <v>8</v>
      </c>
      <c r="C5" t="s">
        <v>8</v>
      </c>
      <c r="D5" t="str">
        <v>mom_10m</v>
      </c>
      <c r="F5" t="s">
        <v>53</v>
      </c>
      <c r="G5" t="s">
        <v>6</v>
      </c>
    </row>
    <row r="6" spans="1:7" x14ac:dyDescent="0.35">
      <c r="A6" t="s">
        <v>17</v>
      </c>
      <c r="B6" t="s">
        <v>9</v>
      </c>
      <c r="C6" t="s">
        <v>9</v>
      </c>
      <c r="D6" t="str">
        <v>mom_45m</v>
      </c>
      <c r="F6" t="s">
        <v>59</v>
      </c>
      <c r="G6" t="s">
        <v>17</v>
      </c>
    </row>
    <row r="7" spans="1:7" x14ac:dyDescent="0.35">
      <c r="A7" t="s">
        <v>64</v>
      </c>
      <c r="B7" t="s">
        <v>6</v>
      </c>
      <c r="C7" t="s">
        <v>9</v>
      </c>
      <c r="D7" t="str">
        <v>acc_mom_25_50t</v>
      </c>
      <c r="F7" t="s">
        <v>61</v>
      </c>
      <c r="G7" t="s">
        <v>10</v>
      </c>
    </row>
    <row r="8" spans="1:7" x14ac:dyDescent="0.35">
      <c r="A8" t="s">
        <v>30</v>
      </c>
      <c r="B8" t="s">
        <v>12</v>
      </c>
      <c r="C8" t="s">
        <v>6</v>
      </c>
      <c r="D8" t="str">
        <v>acc_mom_25_50t</v>
      </c>
      <c r="F8" t="s">
        <v>49</v>
      </c>
      <c r="G8" t="s">
        <v>9</v>
      </c>
    </row>
    <row r="9" spans="1:7" x14ac:dyDescent="0.35">
      <c r="A9" t="s">
        <v>30</v>
      </c>
      <c r="B9" t="s">
        <v>12</v>
      </c>
      <c r="C9" t="s">
        <v>8</v>
      </c>
      <c r="D9" t="str">
        <v>acc_mom_50_100t</v>
      </c>
      <c r="F9" t="s">
        <v>50</v>
      </c>
      <c r="G9" t="s">
        <v>8</v>
      </c>
    </row>
    <row r="10" spans="1:7" x14ac:dyDescent="0.35">
      <c r="A10" t="s">
        <v>19</v>
      </c>
      <c r="B10" t="s">
        <v>9</v>
      </c>
      <c r="C10" t="s">
        <v>10</v>
      </c>
      <c r="D10" t="str">
        <v>acc_mom_50_100t</v>
      </c>
      <c r="F10" t="s">
        <v>64</v>
      </c>
      <c r="G10" t="s">
        <v>1</v>
      </c>
    </row>
    <row r="11" spans="1:7" x14ac:dyDescent="0.35">
      <c r="A11" t="s">
        <v>19</v>
      </c>
      <c r="B11" t="s">
        <v>8</v>
      </c>
      <c r="C11" t="s">
        <v>10</v>
      </c>
      <c r="D11" t="str">
        <v>acc_mom_50_100t</v>
      </c>
      <c r="F11" t="s">
        <v>66</v>
      </c>
      <c r="G11" t="s">
        <v>34</v>
      </c>
    </row>
    <row r="12" spans="1:7" x14ac:dyDescent="0.35">
      <c r="A12" t="s">
        <v>19</v>
      </c>
      <c r="B12" t="s">
        <v>10</v>
      </c>
      <c r="C12" t="s">
        <v>9</v>
      </c>
      <c r="D12" t="str">
        <v>mom_90m</v>
      </c>
      <c r="F12" t="s">
        <v>63</v>
      </c>
      <c r="G12" t="s">
        <v>29</v>
      </c>
    </row>
    <row r="13" spans="1:7" x14ac:dyDescent="0.35">
      <c r="A13" t="s">
        <v>24</v>
      </c>
      <c r="B13" t="s">
        <v>12</v>
      </c>
      <c r="C13" t="s">
        <v>33</v>
      </c>
      <c r="D13" t="str">
        <v>mom_10m</v>
      </c>
      <c r="F13" t="s">
        <v>43</v>
      </c>
      <c r="G13" t="s">
        <v>28</v>
      </c>
    </row>
    <row r="14" spans="1:7" x14ac:dyDescent="0.35">
      <c r="A14" t="s">
        <v>8</v>
      </c>
      <c r="B14" t="s">
        <v>14</v>
      </c>
      <c r="C14" t="s">
        <v>35</v>
      </c>
      <c r="D14" t="str">
        <v>mom_5m</v>
      </c>
      <c r="F14" t="s">
        <v>40</v>
      </c>
      <c r="G14" t="s">
        <v>21</v>
      </c>
    </row>
    <row r="15" spans="1:7" x14ac:dyDescent="0.35">
      <c r="A15" t="s">
        <v>64</v>
      </c>
      <c r="B15" t="s">
        <v>21</v>
      </c>
      <c r="C15" t="s">
        <v>17</v>
      </c>
      <c r="D15" t="str">
        <v>acc_mom_25_50t</v>
      </c>
      <c r="F15" t="s">
        <v>39</v>
      </c>
      <c r="G15" t="s">
        <v>12</v>
      </c>
    </row>
    <row r="16" spans="1:7" x14ac:dyDescent="0.35">
      <c r="A16" t="s">
        <v>6</v>
      </c>
      <c r="B16" t="s">
        <v>15</v>
      </c>
      <c r="C16" t="s">
        <v>32</v>
      </c>
      <c r="D16" t="str">
        <v>mom_10m</v>
      </c>
      <c r="F16" t="s">
        <v>38</v>
      </c>
      <c r="G16" t="s">
        <v>31</v>
      </c>
    </row>
    <row r="17" spans="1:7" x14ac:dyDescent="0.35">
      <c r="A17" t="s">
        <v>30</v>
      </c>
      <c r="B17" t="s">
        <v>16</v>
      </c>
      <c r="C17" t="s">
        <v>10</v>
      </c>
      <c r="D17" t="str">
        <v>mom_5m</v>
      </c>
      <c r="F17" t="s">
        <v>37</v>
      </c>
      <c r="G17" t="s">
        <v>26</v>
      </c>
    </row>
    <row r="18" spans="1:7" x14ac:dyDescent="0.35">
      <c r="A18" t="s">
        <v>69</v>
      </c>
      <c r="B18" t="s">
        <v>21</v>
      </c>
      <c r="C18" t="s">
        <v>31</v>
      </c>
      <c r="D18" t="str">
        <v>bap_45m</v>
      </c>
      <c r="F18" t="s">
        <v>47</v>
      </c>
      <c r="G18" t="s">
        <v>33</v>
      </c>
    </row>
    <row r="19" spans="1:7" x14ac:dyDescent="0.35">
      <c r="A19" t="s">
        <v>8</v>
      </c>
      <c r="B19" t="s">
        <v>9</v>
      </c>
      <c r="C19" t="s">
        <v>15</v>
      </c>
      <c r="D19" t="str">
        <v>bap_45m</v>
      </c>
      <c r="F19" t="s">
        <v>44</v>
      </c>
      <c r="G19" t="s">
        <v>27</v>
      </c>
    </row>
    <row r="20" spans="1:7" x14ac:dyDescent="0.35">
      <c r="A20" t="s">
        <v>70</v>
      </c>
      <c r="B20" t="s">
        <v>10</v>
      </c>
      <c r="C20" t="s">
        <v>17</v>
      </c>
      <c r="D20" t="str">
        <v>acc_mom_100_200t</v>
      </c>
      <c r="F20" t="s">
        <v>46</v>
      </c>
      <c r="G20" t="s">
        <v>22</v>
      </c>
    </row>
    <row r="21" spans="1:7" x14ac:dyDescent="0.35">
      <c r="A21" t="s">
        <v>6</v>
      </c>
      <c r="B21" t="s">
        <v>17</v>
      </c>
      <c r="C21" t="s">
        <v>14</v>
      </c>
      <c r="D21" t="str">
        <v>mom_5m</v>
      </c>
      <c r="F21" t="s">
        <v>45</v>
      </c>
      <c r="G21" t="s">
        <v>19</v>
      </c>
    </row>
    <row r="22" spans="1:7" x14ac:dyDescent="0.35">
      <c r="A22" t="s">
        <v>28</v>
      </c>
      <c r="B22" t="s">
        <v>28</v>
      </c>
      <c r="C22" t="s">
        <v>35</v>
      </c>
      <c r="D22" t="str">
        <v>bap_60m</v>
      </c>
      <c r="F22" t="s">
        <v>42</v>
      </c>
      <c r="G22" t="s">
        <v>20</v>
      </c>
    </row>
    <row r="23" spans="1:7" x14ac:dyDescent="0.35">
      <c r="A23" t="s">
        <v>28</v>
      </c>
      <c r="B23" t="s">
        <v>18</v>
      </c>
      <c r="C23" t="s">
        <v>32</v>
      </c>
      <c r="D23" t="str">
        <v>bap_60m</v>
      </c>
      <c r="F23" t="s">
        <v>69</v>
      </c>
      <c r="G23" t="s">
        <v>18</v>
      </c>
    </row>
    <row r="24" spans="1:7" x14ac:dyDescent="0.35">
      <c r="A24" t="s">
        <v>16</v>
      </c>
      <c r="B24" t="s">
        <v>19</v>
      </c>
      <c r="C24" t="s">
        <v>33</v>
      </c>
      <c r="D24" t="str">
        <v>bap_75m</v>
      </c>
      <c r="F24" t="s">
        <v>70</v>
      </c>
      <c r="G24" t="s">
        <v>30</v>
      </c>
    </row>
    <row r="25" spans="1:7" x14ac:dyDescent="0.35">
      <c r="A25" t="s">
        <v>6</v>
      </c>
      <c r="B25" t="s">
        <v>14</v>
      </c>
      <c r="C25" t="s">
        <v>31</v>
      </c>
      <c r="D25" t="str">
        <v>acc_mom_500_1000t</v>
      </c>
      <c r="F25" t="s">
        <v>65</v>
      </c>
      <c r="G25" t="s">
        <v>15</v>
      </c>
    </row>
    <row r="26" spans="1:7" x14ac:dyDescent="0.35">
      <c r="A26" t="s">
        <v>39</v>
      </c>
      <c r="B26" t="s">
        <v>17</v>
      </c>
      <c r="C26" t="s">
        <v>26</v>
      </c>
      <c r="D26" t="str">
        <v>bap_75m</v>
      </c>
      <c r="F26" t="s">
        <v>58</v>
      </c>
      <c r="G26" t="s">
        <v>14</v>
      </c>
    </row>
    <row r="27" spans="1:7" x14ac:dyDescent="0.35">
      <c r="A27" t="s">
        <v>29</v>
      </c>
      <c r="B27" t="s">
        <v>29</v>
      </c>
      <c r="C27" t="s">
        <v>18</v>
      </c>
      <c r="D27" t="str">
        <v>bap_30m</v>
      </c>
      <c r="F27" t="s">
        <v>24</v>
      </c>
      <c r="G27" t="s">
        <v>16</v>
      </c>
    </row>
    <row r="28" spans="1:7" x14ac:dyDescent="0.35">
      <c r="A28" t="s">
        <v>29</v>
      </c>
      <c r="B28" t="s">
        <v>20</v>
      </c>
      <c r="C28" t="s">
        <v>16</v>
      </c>
      <c r="D28" t="str">
        <v>bap_45m</v>
      </c>
      <c r="F28" t="s">
        <v>23</v>
      </c>
    </row>
    <row r="29" spans="1:7" x14ac:dyDescent="0.35">
      <c r="A29" t="s">
        <v>34</v>
      </c>
      <c r="B29" t="s">
        <v>16</v>
      </c>
      <c r="C29" t="s">
        <v>26</v>
      </c>
      <c r="D29" t="str">
        <v>bap_30m</v>
      </c>
      <c r="F29" t="s">
        <v>6</v>
      </c>
    </row>
    <row r="30" spans="1:7" x14ac:dyDescent="0.35">
      <c r="A30" t="s">
        <v>22</v>
      </c>
      <c r="B30" t="s">
        <v>21</v>
      </c>
      <c r="C30" t="s">
        <v>17</v>
      </c>
      <c r="D30" t="str">
        <v>bap_60m</v>
      </c>
      <c r="F30" t="s">
        <v>17</v>
      </c>
    </row>
    <row r="31" spans="1:7" x14ac:dyDescent="0.35">
      <c r="A31" t="s">
        <v>34</v>
      </c>
      <c r="B31" t="s">
        <v>28</v>
      </c>
      <c r="C31" t="s">
        <v>20</v>
      </c>
      <c r="D31" t="str">
        <v>acc_mom_100_200t</v>
      </c>
      <c r="F31" t="s">
        <v>10</v>
      </c>
    </row>
    <row r="32" spans="1:7" x14ac:dyDescent="0.35">
      <c r="A32" t="s">
        <v>21</v>
      </c>
      <c r="B32" t="s">
        <v>33</v>
      </c>
      <c r="C32" t="s">
        <v>23</v>
      </c>
      <c r="D32" t="str">
        <v>acc_mom_500_1000t</v>
      </c>
      <c r="F32" t="s">
        <v>9</v>
      </c>
    </row>
    <row r="33" spans="1:6" x14ac:dyDescent="0.35">
      <c r="A33" t="s">
        <v>28</v>
      </c>
      <c r="B33" t="s">
        <v>26</v>
      </c>
      <c r="C33" t="s">
        <v>23</v>
      </c>
      <c r="D33" t="str">
        <v>acc_mom_100_200t</v>
      </c>
      <c r="F33" t="s">
        <v>8</v>
      </c>
    </row>
    <row r="34" spans="1:6" x14ac:dyDescent="0.35">
      <c r="A34" t="s">
        <v>69</v>
      </c>
      <c r="B34" t="s">
        <v>10</v>
      </c>
      <c r="C34" t="s">
        <v>22</v>
      </c>
      <c r="D34" t="str">
        <v>bap_75m</v>
      </c>
      <c r="F34" t="s">
        <v>1</v>
      </c>
    </row>
    <row r="35" spans="1:6" x14ac:dyDescent="0.35">
      <c r="A35" t="s">
        <v>39</v>
      </c>
      <c r="B35" t="s">
        <v>22</v>
      </c>
      <c r="C35" t="s">
        <v>18</v>
      </c>
      <c r="D35" t="str">
        <v>acc_mom_400_800t</v>
      </c>
      <c r="F35" t="s">
        <v>34</v>
      </c>
    </row>
    <row r="36" spans="1:6" x14ac:dyDescent="0.35">
      <c r="A36" t="s">
        <v>21</v>
      </c>
      <c r="B36" t="s">
        <v>15</v>
      </c>
      <c r="C36" t="s">
        <v>14</v>
      </c>
      <c r="D36" t="str">
        <v>bap_15m</v>
      </c>
      <c r="F36" t="s">
        <v>29</v>
      </c>
    </row>
    <row r="37" spans="1:6" x14ac:dyDescent="0.35">
      <c r="A37" t="s">
        <v>29</v>
      </c>
      <c r="B37" t="s">
        <v>26</v>
      </c>
      <c r="C37" t="s">
        <v>15</v>
      </c>
      <c r="D37" t="str">
        <v>acc_mom_400_800t</v>
      </c>
      <c r="F37" t="s">
        <v>28</v>
      </c>
    </row>
    <row r="38" spans="1:6" x14ac:dyDescent="0.35">
      <c r="A38" t="s">
        <v>16</v>
      </c>
      <c r="B38" t="s">
        <v>23</v>
      </c>
      <c r="C38" t="s">
        <v>24</v>
      </c>
      <c r="D38" t="str">
        <v>bap_15m</v>
      </c>
      <c r="F38" t="s">
        <v>21</v>
      </c>
    </row>
    <row r="39" spans="1:6" x14ac:dyDescent="0.35">
      <c r="A39" t="s">
        <v>42</v>
      </c>
      <c r="B39" t="s">
        <v>18</v>
      </c>
      <c r="C39" t="s">
        <v>20</v>
      </c>
      <c r="D39" t="str">
        <v>bap_30m</v>
      </c>
      <c r="F39" t="s">
        <v>12</v>
      </c>
    </row>
    <row r="40" spans="1:6" x14ac:dyDescent="0.35">
      <c r="A40" t="s">
        <v>22</v>
      </c>
      <c r="B40" t="s">
        <v>29</v>
      </c>
      <c r="C40" t="s">
        <v>22</v>
      </c>
      <c r="D40" t="str">
        <v>acc_mom_500_1000t</v>
      </c>
      <c r="F40" t="s">
        <v>32</v>
      </c>
    </row>
    <row r="41" spans="1:6" x14ac:dyDescent="0.35">
      <c r="A41" t="s">
        <v>42</v>
      </c>
      <c r="B41" t="s">
        <v>24</v>
      </c>
      <c r="C41" t="s">
        <v>24</v>
      </c>
      <c r="D41" t="str">
        <v>acc_mom_300_600t</v>
      </c>
      <c r="F41" t="s">
        <v>31</v>
      </c>
    </row>
    <row r="42" spans="1:6" x14ac:dyDescent="0.35">
      <c r="A42" t="s">
        <v>16</v>
      </c>
      <c r="B42" t="s">
        <v>24</v>
      </c>
      <c r="C42" t="s">
        <v>23</v>
      </c>
      <c r="D42" t="str">
        <v>bap_15m</v>
      </c>
      <c r="F42" t="s">
        <v>26</v>
      </c>
    </row>
    <row r="43" spans="1:6" x14ac:dyDescent="0.35">
      <c r="A43" t="s">
        <v>34</v>
      </c>
      <c r="B43" t="s">
        <v>35</v>
      </c>
      <c r="C43" t="s">
        <v>27</v>
      </c>
      <c r="D43" t="str">
        <v>acc_mom_150_300t</v>
      </c>
      <c r="F43" t="s">
        <v>33</v>
      </c>
    </row>
    <row r="44" spans="1:6" x14ac:dyDescent="0.35">
      <c r="A44" t="s">
        <v>20</v>
      </c>
      <c r="B44" t="s">
        <v>26</v>
      </c>
      <c r="C44" t="s">
        <v>24</v>
      </c>
      <c r="D44" t="str">
        <v>mom_60m</v>
      </c>
      <c r="F44" t="s">
        <v>35</v>
      </c>
    </row>
    <row r="45" spans="1:6" x14ac:dyDescent="0.35">
      <c r="A45" t="s">
        <v>12</v>
      </c>
      <c r="B45" t="s">
        <v>34</v>
      </c>
      <c r="C45" t="s">
        <v>16</v>
      </c>
      <c r="D45" t="str">
        <v>acc_mom_200_400t</v>
      </c>
      <c r="F45" t="s">
        <v>27</v>
      </c>
    </row>
    <row r="46" spans="1:6" x14ac:dyDescent="0.35">
      <c r="A46" t="s">
        <v>20</v>
      </c>
      <c r="B46" t="s">
        <v>37</v>
      </c>
      <c r="C46" t="s">
        <v>26</v>
      </c>
      <c r="D46" t="str">
        <v>acc_mom_400_800t</v>
      </c>
      <c r="F46" t="s">
        <v>22</v>
      </c>
    </row>
    <row r="47" spans="1:6" x14ac:dyDescent="0.35">
      <c r="A47" t="s">
        <v>12</v>
      </c>
      <c r="B47" t="s">
        <v>32</v>
      </c>
      <c r="C47" t="s">
        <v>18</v>
      </c>
      <c r="D47" t="str">
        <v>acc_mom_200_400t</v>
      </c>
      <c r="F47" t="s">
        <v>19</v>
      </c>
    </row>
    <row r="48" spans="1:6" x14ac:dyDescent="0.35">
      <c r="A48" t="s">
        <v>39</v>
      </c>
      <c r="B48" t="s">
        <v>31</v>
      </c>
      <c r="C48" t="s">
        <v>27</v>
      </c>
      <c r="D48" t="str">
        <v>acc_mom_600_1200t</v>
      </c>
      <c r="F48" t="s">
        <v>20</v>
      </c>
    </row>
    <row r="49" spans="1:6" x14ac:dyDescent="0.35">
      <c r="A49" t="s">
        <v>21</v>
      </c>
      <c r="B49" t="s">
        <v>33</v>
      </c>
      <c r="C49" t="s">
        <v>31</v>
      </c>
      <c r="D49" t="str">
        <v>acc_mom_150_300t</v>
      </c>
      <c r="F49" t="s">
        <v>18</v>
      </c>
    </row>
    <row r="50" spans="1:6" x14ac:dyDescent="0.35">
      <c r="A50" t="s">
        <v>22</v>
      </c>
      <c r="B50" t="s">
        <v>23</v>
      </c>
      <c r="C50" t="s">
        <v>35</v>
      </c>
      <c r="D50" t="str">
        <v>amp_slice_300t</v>
      </c>
      <c r="F50" t="s">
        <v>30</v>
      </c>
    </row>
    <row r="51" spans="1:6" x14ac:dyDescent="0.35">
      <c r="A51" t="s">
        <v>42</v>
      </c>
      <c r="B51" t="s">
        <v>20</v>
      </c>
      <c r="C51" t="s">
        <v>15</v>
      </c>
      <c r="D51" t="str">
        <v>mom_20m</v>
      </c>
      <c r="F51" t="s">
        <v>15</v>
      </c>
    </row>
    <row r="52" spans="1:6" x14ac:dyDescent="0.35">
      <c r="A52" t="s">
        <v>66</v>
      </c>
      <c r="B52" t="s">
        <v>17</v>
      </c>
      <c r="C52" t="s">
        <v>32</v>
      </c>
      <c r="D52" t="str">
        <v>acc_mom_200_400t</v>
      </c>
      <c r="F52" t="s">
        <v>14</v>
      </c>
    </row>
    <row r="53" spans="1:6" x14ac:dyDescent="0.35">
      <c r="A53" t="s">
        <v>70</v>
      </c>
      <c r="B53" t="s">
        <v>31</v>
      </c>
      <c r="C53" t="s">
        <v>20</v>
      </c>
      <c r="D53" t="str">
        <v>acc_mom_150_300t</v>
      </c>
      <c r="F53" t="s">
        <v>16</v>
      </c>
    </row>
    <row r="54" spans="1:6" x14ac:dyDescent="0.35">
      <c r="A54" t="s">
        <v>69</v>
      </c>
      <c r="B54" t="s">
        <v>24</v>
      </c>
      <c r="C54" t="s">
        <v>33</v>
      </c>
      <c r="D54" t="str">
        <v>ofd_45m</v>
      </c>
    </row>
    <row r="55" spans="1:6" x14ac:dyDescent="0.35">
      <c r="A55" t="s">
        <v>38</v>
      </c>
      <c r="B55" t="s">
        <v>15</v>
      </c>
      <c r="C55" t="s">
        <v>22</v>
      </c>
      <c r="D55" t="str">
        <v>ofd_45m</v>
      </c>
    </row>
    <row r="56" spans="1:6" x14ac:dyDescent="0.35">
      <c r="A56" t="s">
        <v>45</v>
      </c>
      <c r="B56" t="s">
        <v>27</v>
      </c>
      <c r="C56" t="s">
        <v>14</v>
      </c>
      <c r="D56" t="str">
        <v>acc_mom_300_600t</v>
      </c>
    </row>
    <row r="57" spans="1:6" x14ac:dyDescent="0.35">
      <c r="A57" t="s">
        <v>55</v>
      </c>
      <c r="B57" t="s">
        <v>32</v>
      </c>
      <c r="C57" t="s">
        <v>27</v>
      </c>
      <c r="D57" t="str">
        <v>ofd_45m</v>
      </c>
    </row>
    <row r="58" spans="1:6" x14ac:dyDescent="0.35">
      <c r="A58" t="s">
        <v>18</v>
      </c>
      <c r="B58" t="s">
        <v>35</v>
      </c>
      <c r="C58" t="s">
        <v>19</v>
      </c>
      <c r="D58" t="str">
        <v>acc_mom_300_600t</v>
      </c>
    </row>
    <row r="59" spans="1:6" x14ac:dyDescent="0.35">
      <c r="A59" t="s">
        <v>45</v>
      </c>
      <c r="B59" t="s">
        <v>14</v>
      </c>
      <c r="C59" t="s">
        <v>12</v>
      </c>
      <c r="D59" t="str">
        <v>mom_30m</v>
      </c>
    </row>
    <row r="60" spans="1:6" x14ac:dyDescent="0.35">
      <c r="A60" t="s">
        <v>12</v>
      </c>
      <c r="B60" t="s">
        <v>28</v>
      </c>
      <c r="C60" t="s">
        <v>16</v>
      </c>
      <c r="D60" t="str">
        <v>amp_slice_1500t</v>
      </c>
    </row>
    <row r="61" spans="1:6" x14ac:dyDescent="0.35">
      <c r="A61" t="s">
        <v>38</v>
      </c>
      <c r="B61" t="s">
        <v>18</v>
      </c>
      <c r="C61" t="s">
        <v>12</v>
      </c>
      <c r="D61" t="str">
        <v>amp_slice_300t</v>
      </c>
    </row>
    <row r="62" spans="1:6" x14ac:dyDescent="0.35">
      <c r="A62" t="s">
        <v>55</v>
      </c>
      <c r="B62" t="s">
        <v>19</v>
      </c>
      <c r="C62" t="s">
        <v>19</v>
      </c>
      <c r="D62" t="str">
        <v>acc_mom_600_1200t</v>
      </c>
    </row>
    <row r="63" spans="1:6" x14ac:dyDescent="0.35">
      <c r="A63" t="s">
        <v>40</v>
      </c>
      <c r="B63" t="s">
        <v>16</v>
      </c>
      <c r="C63" t="s">
        <v>21</v>
      </c>
      <c r="D63" t="str">
        <v>amp_slice_1500t</v>
      </c>
    </row>
    <row r="64" spans="1:6" x14ac:dyDescent="0.35">
      <c r="A64" t="s">
        <v>50</v>
      </c>
      <c r="B64" t="s">
        <v>34</v>
      </c>
      <c r="C64" t="s">
        <v>12</v>
      </c>
      <c r="D64" t="str">
        <v>amp_slice_300t</v>
      </c>
    </row>
    <row r="65" spans="1:4" x14ac:dyDescent="0.35">
      <c r="A65" t="s">
        <v>45</v>
      </c>
      <c r="B65" t="s">
        <v>22</v>
      </c>
      <c r="C65" t="s">
        <v>69</v>
      </c>
      <c r="D65" t="str">
        <v>amp_slice_1500t</v>
      </c>
    </row>
    <row r="66" spans="1:4" x14ac:dyDescent="0.35">
      <c r="A66" t="s">
        <v>40</v>
      </c>
      <c r="B66" t="s">
        <v>37</v>
      </c>
      <c r="C66" t="s">
        <v>69</v>
      </c>
      <c r="D66" t="str">
        <v>acc_mom_600_1200t</v>
      </c>
    </row>
    <row r="67" spans="1:4" x14ac:dyDescent="0.35">
      <c r="A67" t="s">
        <v>58</v>
      </c>
      <c r="B67" t="s">
        <v>38</v>
      </c>
      <c r="C67" t="s">
        <v>19</v>
      </c>
      <c r="D67" t="str">
        <v>factor_col</v>
      </c>
    </row>
    <row r="68" spans="1:4" x14ac:dyDescent="0.35">
      <c r="A68" t="s">
        <v>14</v>
      </c>
      <c r="B68" t="s">
        <v>23</v>
      </c>
      <c r="C68" t="s">
        <v>69</v>
      </c>
      <c r="D68" t="str">
        <v>amp_slice_600t</v>
      </c>
    </row>
    <row r="69" spans="1:4" x14ac:dyDescent="0.35">
      <c r="A69" t="s">
        <v>63</v>
      </c>
      <c r="B69" t="s">
        <v>29</v>
      </c>
      <c r="C69" t="s">
        <v>70</v>
      </c>
    </row>
    <row r="70" spans="1:4" x14ac:dyDescent="0.35">
      <c r="A70" t="s">
        <v>40</v>
      </c>
      <c r="B70" t="s">
        <v>30</v>
      </c>
      <c r="C70" t="s">
        <v>70</v>
      </c>
    </row>
    <row r="71" spans="1:4" x14ac:dyDescent="0.35">
      <c r="A71" t="s">
        <v>23</v>
      </c>
      <c r="B71" t="s">
        <v>40</v>
      </c>
      <c r="C71" t="s">
        <v>70</v>
      </c>
    </row>
    <row r="72" spans="1:4" x14ac:dyDescent="0.35">
      <c r="A72" t="s">
        <v>58</v>
      </c>
      <c r="B72" t="s">
        <v>39</v>
      </c>
      <c r="C72" t="s">
        <v>21</v>
      </c>
    </row>
    <row r="73" spans="1:4" x14ac:dyDescent="0.35">
      <c r="A73" t="s">
        <v>15</v>
      </c>
      <c r="B73" t="s">
        <v>31</v>
      </c>
      <c r="C73" t="s">
        <v>28</v>
      </c>
    </row>
    <row r="74" spans="1:4" x14ac:dyDescent="0.35">
      <c r="A74" t="s">
        <v>63</v>
      </c>
      <c r="B74" t="s">
        <v>27</v>
      </c>
      <c r="C74" t="s">
        <v>65</v>
      </c>
    </row>
    <row r="75" spans="1:4" x14ac:dyDescent="0.35">
      <c r="A75" t="s">
        <v>64</v>
      </c>
      <c r="B75" t="s">
        <v>32</v>
      </c>
      <c r="C75" t="s">
        <v>1</v>
      </c>
    </row>
    <row r="76" spans="1:4" x14ac:dyDescent="0.35">
      <c r="A76" t="s">
        <v>20</v>
      </c>
      <c r="B76" t="s">
        <v>20</v>
      </c>
      <c r="C76" t="s">
        <v>30</v>
      </c>
    </row>
    <row r="77" spans="1:4" x14ac:dyDescent="0.35">
      <c r="A77" t="s">
        <v>37</v>
      </c>
      <c r="B77" t="s">
        <v>19</v>
      </c>
      <c r="C77" t="s">
        <v>29</v>
      </c>
    </row>
    <row r="78" spans="1:4" x14ac:dyDescent="0.35">
      <c r="A78" t="s">
        <v>56</v>
      </c>
      <c r="B78" t="s">
        <v>38</v>
      </c>
      <c r="C78" t="s">
        <v>47</v>
      </c>
    </row>
    <row r="79" spans="1:4" x14ac:dyDescent="0.35">
      <c r="A79" t="s">
        <v>66</v>
      </c>
      <c r="B79" t="s">
        <v>33</v>
      </c>
      <c r="C79" t="s">
        <v>65</v>
      </c>
    </row>
    <row r="80" spans="1:4" x14ac:dyDescent="0.35">
      <c r="A80" t="s">
        <v>54</v>
      </c>
      <c r="B80" t="s">
        <v>34</v>
      </c>
      <c r="C80" t="s">
        <v>65</v>
      </c>
    </row>
    <row r="81" spans="1:3" x14ac:dyDescent="0.35">
      <c r="A81" t="s">
        <v>15</v>
      </c>
      <c r="B81" t="s">
        <v>35</v>
      </c>
      <c r="C81" t="s">
        <v>28</v>
      </c>
    </row>
    <row r="82" spans="1:3" x14ac:dyDescent="0.35">
      <c r="A82" t="s">
        <v>27</v>
      </c>
      <c r="B82" t="s">
        <v>1</v>
      </c>
      <c r="C82" t="s">
        <v>46</v>
      </c>
    </row>
    <row r="83" spans="1:3" x14ac:dyDescent="0.35">
      <c r="A83" t="s">
        <v>14</v>
      </c>
      <c r="B83" t="s">
        <v>22</v>
      </c>
      <c r="C83" t="s">
        <v>21</v>
      </c>
    </row>
    <row r="84" spans="1:3" x14ac:dyDescent="0.35">
      <c r="A84" t="s">
        <v>63</v>
      </c>
      <c r="B84" t="s">
        <v>37</v>
      </c>
      <c r="C84" t="s">
        <v>58</v>
      </c>
    </row>
    <row r="85" spans="1:3" x14ac:dyDescent="0.35">
      <c r="A85" t="s">
        <v>53</v>
      </c>
      <c r="B85" t="s">
        <v>40</v>
      </c>
      <c r="C85" t="s">
        <v>29</v>
      </c>
    </row>
    <row r="86" spans="1:3" x14ac:dyDescent="0.35">
      <c r="A86" t="s">
        <v>37</v>
      </c>
      <c r="B86" t="s">
        <v>43</v>
      </c>
      <c r="C86" t="s">
        <v>34</v>
      </c>
    </row>
    <row r="87" spans="1:3" x14ac:dyDescent="0.35">
      <c r="A87" t="s">
        <v>26</v>
      </c>
      <c r="B87" t="s">
        <v>46</v>
      </c>
      <c r="C87" t="s">
        <v>44</v>
      </c>
    </row>
    <row r="88" spans="1:3" x14ac:dyDescent="0.35">
      <c r="A88" t="s">
        <v>38</v>
      </c>
      <c r="C88" t="s">
        <v>30</v>
      </c>
    </row>
    <row r="89" spans="1:3" x14ac:dyDescent="0.35">
      <c r="A89" t="s">
        <v>9</v>
      </c>
      <c r="C89" t="s">
        <v>49</v>
      </c>
    </row>
    <row r="90" spans="1:3" x14ac:dyDescent="0.35">
      <c r="A90" t="s">
        <v>15</v>
      </c>
      <c r="C90" t="s">
        <v>47</v>
      </c>
    </row>
    <row r="91" spans="1:3" x14ac:dyDescent="0.35">
      <c r="A91" t="s">
        <v>37</v>
      </c>
      <c r="C91" t="s">
        <v>58</v>
      </c>
    </row>
    <row r="92" spans="1:3" x14ac:dyDescent="0.35">
      <c r="A92" t="s">
        <v>14</v>
      </c>
    </row>
    <row r="93" spans="1:3" x14ac:dyDescent="0.35">
      <c r="A93" t="s">
        <v>46</v>
      </c>
    </row>
    <row r="94" spans="1:3" x14ac:dyDescent="0.35">
      <c r="A94" t="s">
        <v>46</v>
      </c>
    </row>
    <row r="95" spans="1:3" x14ac:dyDescent="0.35">
      <c r="A95" t="s">
        <v>18</v>
      </c>
    </row>
    <row r="96" spans="1:3" x14ac:dyDescent="0.35">
      <c r="A96" t="s">
        <v>58</v>
      </c>
    </row>
    <row r="97" spans="1:1" x14ac:dyDescent="0.35">
      <c r="A97" t="s">
        <v>46</v>
      </c>
    </row>
    <row r="98" spans="1:1" x14ac:dyDescent="0.35">
      <c r="A98" t="s">
        <v>70</v>
      </c>
    </row>
    <row r="99" spans="1:1" x14ac:dyDescent="0.35">
      <c r="A99" t="s">
        <v>56</v>
      </c>
    </row>
    <row r="100" spans="1:1" x14ac:dyDescent="0.35">
      <c r="A100" t="s">
        <v>50</v>
      </c>
    </row>
    <row r="101" spans="1:1" x14ac:dyDescent="0.35">
      <c r="A101" t="s">
        <v>18</v>
      </c>
    </row>
    <row r="102" spans="1:1" x14ac:dyDescent="0.35">
      <c r="A102" t="s">
        <v>10</v>
      </c>
    </row>
    <row r="103" spans="1:1" x14ac:dyDescent="0.35">
      <c r="A103" t="s">
        <v>33</v>
      </c>
    </row>
    <row r="104" spans="1:1" x14ac:dyDescent="0.35">
      <c r="A104" t="s">
        <v>61</v>
      </c>
    </row>
    <row r="105" spans="1:1" x14ac:dyDescent="0.35">
      <c r="A105" t="s">
        <v>26</v>
      </c>
    </row>
    <row r="106" spans="1:1" x14ac:dyDescent="0.35">
      <c r="A106" t="s">
        <v>55</v>
      </c>
    </row>
    <row r="107" spans="1:1" x14ac:dyDescent="0.35">
      <c r="A107" t="s">
        <v>53</v>
      </c>
    </row>
    <row r="108" spans="1:1" x14ac:dyDescent="0.35">
      <c r="A108" t="s">
        <v>27</v>
      </c>
    </row>
    <row r="109" spans="1:1" x14ac:dyDescent="0.35">
      <c r="A109" t="s">
        <v>53</v>
      </c>
    </row>
    <row r="110" spans="1:1" x14ac:dyDescent="0.35">
      <c r="A110" t="s">
        <v>56</v>
      </c>
    </row>
    <row r="111" spans="1:1" x14ac:dyDescent="0.35">
      <c r="A111" t="s">
        <v>33</v>
      </c>
    </row>
    <row r="112" spans="1:1" x14ac:dyDescent="0.35">
      <c r="A112" t="s">
        <v>26</v>
      </c>
    </row>
    <row r="113" spans="1:1" x14ac:dyDescent="0.35">
      <c r="A113" t="s">
        <v>43</v>
      </c>
    </row>
    <row r="114" spans="1:1" x14ac:dyDescent="0.35">
      <c r="A114" t="s">
        <v>66</v>
      </c>
    </row>
    <row r="115" spans="1:1" x14ac:dyDescent="0.35">
      <c r="A115" t="s">
        <v>61</v>
      </c>
    </row>
    <row r="116" spans="1:1" x14ac:dyDescent="0.35">
      <c r="A116" t="s">
        <v>33</v>
      </c>
    </row>
    <row r="117" spans="1:1" x14ac:dyDescent="0.35">
      <c r="A117" t="s">
        <v>43</v>
      </c>
    </row>
    <row r="118" spans="1:1" x14ac:dyDescent="0.35">
      <c r="A118" t="s">
        <v>27</v>
      </c>
    </row>
    <row r="119" spans="1:1" x14ac:dyDescent="0.35">
      <c r="A119" t="s">
        <v>54</v>
      </c>
    </row>
    <row r="120" spans="1:1" x14ac:dyDescent="0.35">
      <c r="A120" t="s">
        <v>1</v>
      </c>
    </row>
    <row r="121" spans="1:1" x14ac:dyDescent="0.35">
      <c r="A121" t="s">
        <v>44</v>
      </c>
    </row>
    <row r="122" spans="1:1" x14ac:dyDescent="0.35">
      <c r="A122" t="s">
        <v>43</v>
      </c>
    </row>
    <row r="123" spans="1:1" x14ac:dyDescent="0.35">
      <c r="A123" t="s">
        <v>59</v>
      </c>
    </row>
    <row r="124" spans="1:1" x14ac:dyDescent="0.35">
      <c r="A124" t="s">
        <v>59</v>
      </c>
    </row>
    <row r="125" spans="1:1" x14ac:dyDescent="0.35">
      <c r="A125" t="s">
        <v>44</v>
      </c>
    </row>
    <row r="126" spans="1:1" x14ac:dyDescent="0.35">
      <c r="A126" t="s">
        <v>47</v>
      </c>
    </row>
    <row r="127" spans="1:1" x14ac:dyDescent="0.35">
      <c r="A127" t="s">
        <v>59</v>
      </c>
    </row>
    <row r="128" spans="1:1" x14ac:dyDescent="0.35">
      <c r="A128" t="s">
        <v>31</v>
      </c>
    </row>
  </sheetData>
  <sortState xmlns:xlrd2="http://schemas.microsoft.com/office/spreadsheetml/2017/richdata2" ref="F1:F304">
    <sortCondition descending="1" ref="F1:F30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ic_summary_thr0.02</vt:lpstr>
      <vt:lpstr>因子选择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Wang</dc:creator>
  <cp:lastModifiedBy>Hao Wang</cp:lastModifiedBy>
  <dcterms:created xsi:type="dcterms:W3CDTF">2026-03-29T01:50:47Z</dcterms:created>
  <dcterms:modified xsi:type="dcterms:W3CDTF">2026-03-29T02:15:52Z</dcterms:modified>
</cp:coreProperties>
</file>